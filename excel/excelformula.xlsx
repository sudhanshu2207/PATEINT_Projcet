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myfiles\vscode\excel\patient_project\"/>
    </mc:Choice>
  </mc:AlternateContent>
  <xr:revisionPtr revIDLastSave="0" documentId="13_ncr:1_{AB4E9645-2DA3-4C93-99CE-40B54CE34F79}" xr6:coauthVersionLast="47" xr6:coauthVersionMax="47" xr10:uidLastSave="{00000000-0000-0000-0000-000000000000}"/>
  <bookViews>
    <workbookView xWindow="-110" yWindow="-110" windowWidth="19420" windowHeight="11500" xr2:uid="{3B727DFA-6326-4533-AC32-45512ADCD22C}"/>
  </bookViews>
  <sheets>
    <sheet name="diagnosis" sheetId="1" r:id="rId1"/>
    <sheet name="patients" sheetId="2" r:id="rId2"/>
    <sheet name="pivot_table" sheetId="5" r:id="rId3"/>
    <sheet name="outcomes" sheetId="3" r:id="rId4"/>
    <sheet name="labs" sheetId="4" r:id="rId5"/>
  </sheets>
  <definedNames>
    <definedName name="_xlnm._FilterDatabase" localSheetId="4" hidden="1">labs!$A$1:$E$201</definedName>
    <definedName name="_xlchart.v1.0" hidden="1">pivot_table!$C$7:$C$11</definedName>
    <definedName name="_xlchart.v1.1" hidden="1">pivot_table!$D$6</definedName>
    <definedName name="_xlchart.v1.10" hidden="1">pivot_table!$E$7:$E$11</definedName>
    <definedName name="_xlchart.v1.2" hidden="1">pivot_table!$D$7:$D$11</definedName>
    <definedName name="_xlchart.v1.3" hidden="1">pivot_table!$E$6</definedName>
    <definedName name="_xlchart.v1.4" hidden="1">pivot_table!$E$7:$E$11</definedName>
    <definedName name="_xlchart.v1.5" hidden="1">pivot_table!$G$14</definedName>
    <definedName name="_xlchart.v1.6" hidden="1">pivot_table!$C$7:$C$11</definedName>
    <definedName name="_xlchart.v1.7" hidden="1">pivot_table!$D$6</definedName>
    <definedName name="_xlchart.v1.8" hidden="1">pivot_table!$D$7:$D$11</definedName>
    <definedName name="_xlchart.v1.9" hidden="1">pivot_table!$E$6</definedName>
  </definedNames>
  <calcPr calcId="191029"/>
  <pivotCaches>
    <pivotCache cacheId="1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2" l="1"/>
  <c r="O8" i="2"/>
  <c r="O9" i="2"/>
  <c r="O10" i="2"/>
  <c r="O11" i="2"/>
  <c r="O12" i="2"/>
  <c r="O13" i="2"/>
  <c r="O14" i="2"/>
  <c r="O15" i="2"/>
  <c r="O3" i="2"/>
  <c r="O4" i="2"/>
  <c r="O5" i="2"/>
  <c r="O6" i="2"/>
  <c r="O2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" i="2"/>
</calcChain>
</file>

<file path=xl/sharedStrings.xml><?xml version="1.0" encoding="utf-8"?>
<sst xmlns="http://schemas.openxmlformats.org/spreadsheetml/2006/main" count="851" uniqueCount="250">
  <si>
    <t>DiagnosisID</t>
  </si>
  <si>
    <t>DiagnosisName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</si>
  <si>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</si>
  <si>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</si>
  <si>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</si>
  <si>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</si>
  <si>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</si>
  <si>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</si>
  <si>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</si>
  <si>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</si>
  <si>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</si>
  <si>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</si>
  <si>
    <t>PatientID</t>
  </si>
  <si>
    <t>Name</t>
  </si>
  <si>
    <t>Age</t>
  </si>
  <si>
    <t>Gender</t>
  </si>
  <si>
    <t>AdmissionDate</t>
  </si>
  <si>
    <t>DischargeDate</t>
  </si>
  <si>
    <t>OutcomeID</t>
  </si>
  <si>
    <t>TreatmentCost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</si>
  <si>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</si>
  <si>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</si>
  <si>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</si>
  <si>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</si>
  <si>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</si>
  <si>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</si>
  <si>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</si>
  <si>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</si>
  <si>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</si>
  <si>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</si>
  <si>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</si>
  <si>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</si>
  <si>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</si>
  <si>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</si>
  <si>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</si>
  <si>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</si>
  <si>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</si>
  <si>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</si>
  <si>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</si>
  <si>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</si>
  <si>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</si>
  <si>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</si>
  <si>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</si>
  <si>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</si>
  <si>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</si>
  <si>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</si>
  <si>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</si>
  <si>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</si>
  <si>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</si>
  <si>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</si>
  <si>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</si>
  <si>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</si>
  <si>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</si>
  <si>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</si>
  <si>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</si>
  <si>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</si>
  <si>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</si>
  <si>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</si>
  <si>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</si>
  <si>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</si>
  <si>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</si>
  <si>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</si>
  <si>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</si>
  <si>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</si>
  <si>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</si>
  <si>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</si>
  <si>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</si>
  <si>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</si>
  <si>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</si>
  <si>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</si>
  <si>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</si>
  <si>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</si>
  <si>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</si>
  <si>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</si>
  <si>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</si>
  <si>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</si>
  <si>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</si>
  <si>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</si>
  <si>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</si>
  <si>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</si>
  <si>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</si>
  <si>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</si>
  <si>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</si>
  <si>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</si>
  <si>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</si>
  <si>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</si>
  <si>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</si>
  <si>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</si>
  <si>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</si>
  <si>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</si>
  <si>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</si>
  <si>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</si>
  <si>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</si>
  <si>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</si>
  <si>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</si>
  <si>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</si>
  <si>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</si>
  <si>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</si>
  <si>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</si>
  <si>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</si>
  <si>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</si>
  <si>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</si>
  <si>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</si>
  <si>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</si>
  <si>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</si>
  <si>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</si>
  <si>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</si>
  <si>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</si>
  <si>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</si>
  <si>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</si>
  <si>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</si>
  <si>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</si>
  <si>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</si>
  <si>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</si>
  <si>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</si>
  <si>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</si>
  <si>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</si>
  <si>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</si>
  <si>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</si>
  <si>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</si>
  <si>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</si>
  <si>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</si>
  <si>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</si>
  <si>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</si>
  <si>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</si>
  <si>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</si>
  <si>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</si>
  <si>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</si>
  <si>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</si>
  <si>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</si>
  <si>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</si>
  <si>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</si>
  <si>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</si>
  <si>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</si>
  <si>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</si>
  <si>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</si>
  <si>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</si>
  <si>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</si>
  <si>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</si>
  <si>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</si>
  <si>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</si>
  <si>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</si>
  <si>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</si>
  <si>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</si>
  <si>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</si>
  <si>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</si>
  <si>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</si>
  <si>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</si>
  <si>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</si>
  <si>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</si>
  <si>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</si>
  <si>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</si>
  <si>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</si>
  <si>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</si>
  <si>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</si>
  <si>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</si>
  <si>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</si>
  <si>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</si>
  <si>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</si>
  <si>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</si>
  <si>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</si>
  <si>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</si>
  <si>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</si>
  <si>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</si>
  <si>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</si>
  <si>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</si>
  <si>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</si>
  <si>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</si>
  <si>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</si>
  <si>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</si>
  <si>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</si>
  <si>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</si>
  <si>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</si>
  <si>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</si>
  <si>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</si>
  <si>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</si>
  <si>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</si>
  <si>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</si>
  <si>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</si>
  <si>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</si>
  <si>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</si>
  <si>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</si>
  <si>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</si>
  <si>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</si>
  <si>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</si>
  <si>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</si>
  <si>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</si>
  <si>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</si>
  <si>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</si>
  <si>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</si>
  <si>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</si>
  <si>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</si>
  <si>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</si>
  <si>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</si>
  <si>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</si>
  <si>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</si>
  <si>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</si>
  <si>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</si>
  <si>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</si>
  <si>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</si>
  <si>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</si>
  <si>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</si>
  <si>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</si>
  <si>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</si>
  <si>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</si>
  <si>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</si>
  <si>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</si>
  <si>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</si>
  <si>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</si>
  <si>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</si>
  <si>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</si>
  <si>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</si>
  <si>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</si>
  <si>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</si>
  <si>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</si>
  <si>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</si>
  <si>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</si>
  <si>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</si>
  <si>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</si>
  <si>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</si>
  <si>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</si>
  <si>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</si>
  <si>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OutcomeName</t>
  </si>
  <si>
    <t>Recovered</t>
  </si>
  <si>
    <t>Complicated</t>
  </si>
  <si>
    <t>Deceased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</si>
  <si>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</si>
  <si>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</si>
  <si>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</si>
  <si>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</si>
  <si>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</si>
  <si>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</si>
  <si>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</si>
  <si>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</si>
  <si>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</si>
  <si>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</si>
  <si>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</si>
  <si>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</si>
  <si>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</si>
  <si>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</si>
  <si>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</si>
  <si>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</si>
  <si>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Length of Stay</t>
  </si>
  <si>
    <t>Disease</t>
  </si>
  <si>
    <t>Risk Score</t>
  </si>
  <si>
    <t>Grand Total</t>
  </si>
  <si>
    <t>Sum of TreatmentCost</t>
  </si>
  <si>
    <t>(Multiple Items)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</si>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</sst>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[excelformula.xlsx]pivot_table!PivotTable2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pivot_table!$D$6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pivot_table!$C$7:$C$15</c:f>
              <c:strCache>
                <c:ptCount val="8"/>
                <c:pt idx="0">
                  <c:v>Amanda Richardson</c:v>
                </c:pt>
                <c:pt idx="1">
                  <c:v>Brenda Huber</c:v>
                </c:pt>
                <c:pt idx="2">
                  <c:v>Nancy Mcmahon</c:v>
                </c:pt>
                <c:pt idx="3">
                  <c:v>Shawn Burke</c:v>
                </c:pt>
                <c:pt idx="4">
                  <c:v>Shawna Webb</c:v>
                </c:pt>
                <c:pt idx="5">
                  <c:v>Shirley Spencer</c:v>
                </c:pt>
                <c:pt idx="6">
                  <c:v>Theodore Oliver</c:v>
                </c:pt>
                <c:pt idx="7">
                  <c:v>Toni Gomez</c:v>
                </c:pt>
              </c:strCache>
            </c:strRef>
          </c:cat>
          <c:val>
            <c:numRef>
              <c:f>pivot_table!$D$7:$D$15</c:f>
              <c:numCache>
                <c:formatCode>General</c:formatCode>
                <c:ptCount val="8"/>
                <c:pt idx="0">
                  <c:v>2951</c:v>
                </c:pt>
                <c:pt idx="1">
                  <c:v>5449</c:v>
                </c:pt>
                <c:pt idx="2">
                  <c:v>4332</c:v>
                </c:pt>
                <c:pt idx="3">
                  <c:v>6064</c:v>
                </c:pt>
                <c:pt idx="4">
                  <c:v>5462</c:v>
                </c:pt>
                <c:pt idx="5">
                  <c:v>2574</c:v>
                </c:pt>
                <c:pt idx="6">
                  <c:v>6858</c:v>
                </c:pt>
                <c:pt idx="7">
                  <c:v>2126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5-4C32-BFCE-76D8D4467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5356447"/>
        <c:axId val="915360767"/>
      </c:barChart>
      <c:catAx>
        <c:axId val="91535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360767"/>
        <c:crosses val="autoZero"/>
        <c:auto val="1"/>
        <c:lblAlgn val="ctr"/>
        <c:lblOffset val="100"/>
        <c:noMultiLvlLbl val="0"/>
      </c:catAx>
      <c:valAx>
        <c:axId val="91536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356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581024</xdr:colOff>
      <xdr:row>2</xdr:row>
      <xdr:rowOff>133350</xdr:rowOff>
    </xdr:from>
    <xdr:to>
      <xdr:col>14</xdr:col>
      <xdr:colOff>488949</xdr:colOff>
      <xdr:row>20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3F341B-7611-B08D-6A5C-436995F138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anshu kandwal" refreshedDate="46026.686814004628" createdVersion="8" refreshedVersion="8" minRefreshableVersion="3" recordCount="200" xr:uid="{17FE37A9-C895-4881-A200-FBB5939ED716}">
  <cacheSource type="worksheet">
    <worksheetSource ref="A1:I201" sheet="patients"/>
  </cacheSource>
  <cacheFields count="11">
    <cacheField name="PatientID" numFmtId="0">
      <sharedItems containsSemiMixedTypes="0" containsString="0" containsNumber="1" containsInteger="1" minValue="1" maxValue="200"/>
    </cacheField>
    <cacheField name="Name" numFmtId="0">
      <sharedItems count="200">
        <s v="Edward Montes"/>
        <s v="Jessica Zimmerman"/>
        <s v="Gina Alexander"/>
        <s v="Lori Green"/>
        <s v="Jack Logan"/>
        <s v="Melinda Robinson"/>
        <s v="Sherry Robinson"/>
        <s v="James Watts"/>
        <s v="Jeanne Butler"/>
        <s v="Benjamin Rogers"/>
        <s v="Carol Sanchez"/>
        <s v="Stacy Clark"/>
        <s v="Kimberly Chase"/>
        <s v="Cody Ryan"/>
        <s v="Kimberly Alexander"/>
        <s v="Olivia Roy"/>
        <s v="Sabrina Medina"/>
        <s v="Jennifer Wright"/>
        <s v="Christian Lynch"/>
        <s v="Jorge Castillo"/>
        <s v="Nicholas Wilcox"/>
        <s v="Toni Gomez"/>
        <s v="Emily King"/>
        <s v="Jordan Harris"/>
        <s v="Adriana Rogers"/>
        <s v="Samuel Thompson"/>
        <s v="Brenda Huber"/>
        <s v="Brett Washington"/>
        <s v="Katherine Gonzales"/>
        <s v="Jacqueline Bauer"/>
        <s v="Brittany Walker"/>
        <s v="Tommy Atkinson"/>
        <s v="Miss Kathryn Mitchell"/>
        <s v="Steven Morales"/>
        <s v="Anthony Frederick"/>
        <s v="Beverly Dillon"/>
        <s v="Monica Walker"/>
        <s v="Russell Small"/>
        <s v="Matthew Rios"/>
        <s v="Nicole Vargas"/>
        <s v="Richard Hill"/>
        <s v="Bonnie Herman"/>
        <s v="Nicholas Wright"/>
        <s v="Kelsey Sanchez"/>
        <s v="Deborah Little"/>
        <s v="Mrs. Carol Andrade"/>
        <s v="Carlos Gutierrez"/>
        <s v="Casey Schneider"/>
        <s v="Lisa Frazier"/>
        <s v="Katie Lawson"/>
        <s v="Mary Johnson"/>
        <s v="Michael Maxwell"/>
        <s v="Patrick Mccormick"/>
        <s v="Bruce Jones"/>
        <s v="Austin Huffman"/>
        <s v="Heather Peterson"/>
        <s v="Justin Keller"/>
        <s v="Robert Aguirre"/>
        <s v="Christopher Hoffman"/>
        <s v="Tamara Pacheco"/>
        <s v="Jared Hughes"/>
        <s v="Samantha Peck"/>
        <s v="Jared Jacobs"/>
        <s v="Rachel Johnson"/>
        <s v="Lauren Skinner"/>
        <s v="Tina Rodriguez PhD"/>
        <s v="Shirley Spencer"/>
        <s v="Daniel Livingston"/>
        <s v="Stephen Wright"/>
        <s v="James Leblanc"/>
        <s v="John Dawson"/>
        <s v="Sharon Miller"/>
        <s v="Rhonda Nichols"/>
        <s v="William Mclaughlin"/>
        <s v="Melissa Edwards"/>
        <s v="Joshua Shaw"/>
        <s v="Yolanda Tucker"/>
        <s v="Sarah Anderson"/>
        <s v="Meagan Larson"/>
        <s v="Kelly Huffman"/>
        <s v="Sarah Rivas"/>
        <s v="Erica Mills"/>
        <s v="Theodore Oliver"/>
        <s v="Linda Mitchell"/>
        <s v="Jason Harrington"/>
        <s v="Kim Salas DDS"/>
        <s v="Patrick Cantu"/>
        <s v="Brenda Evans"/>
        <s v="Christopher Burch"/>
        <s v="Stephanie Beard"/>
        <s v="James Boyer"/>
        <s v="Julie Rhodes"/>
        <s v="Jennifer Howard"/>
        <s v="Anthony Rodriguez"/>
        <s v="Alexander Rodgers"/>
        <s v="Joshua Riley"/>
        <s v="Dennis Lynch"/>
        <s v="Amanda Rivera"/>
        <s v="Mark Miller"/>
        <s v="Cindy Rivas"/>
        <s v="Kenneth Holden"/>
        <s v="Veronica Beard"/>
        <s v="Jordan Perry"/>
        <s v="Jaime Jacobs"/>
        <s v="Brenda Hines"/>
        <s v="Nancy Weber"/>
        <s v="Angela Schneider"/>
        <s v="Richard Osborne"/>
        <s v="Autumn Garrett"/>
        <s v="Patrick Webb"/>
        <s v="Mrs. Amanda Bright MD"/>
        <s v="Anthony Marshall"/>
        <s v="Kevin Vaughn"/>
        <s v="Dawn Hicks"/>
        <s v="Jeffrey Norris"/>
        <s v="Antonio Ruiz"/>
        <s v="Sarah Mason"/>
        <s v="Nicholas Lee"/>
        <s v="Dr. Edward Hebert"/>
        <s v="Sara Huffman"/>
        <s v="Ashley Rodriguez"/>
        <s v="Jennifer Ramirez"/>
        <s v="Amanda Richardson"/>
        <s v="Jake Bryan"/>
        <s v="James Barron"/>
        <s v="Carmen Rosales"/>
        <s v="Joseph Medina"/>
        <s v="Nancy Mcmahon"/>
        <s v="Lindsey Vargas"/>
        <s v="Rhonda Nguyen"/>
        <s v="Charles Martin"/>
        <s v="Christina Curtis"/>
        <s v="Mary Jones"/>
        <s v="Christopher Miller"/>
        <s v="Brian Brown"/>
        <s v="Amanda Mason"/>
        <s v="Jordan Rodgers"/>
        <s v="Jessica Watson"/>
        <s v="Edward Thornton"/>
        <s v="Randy Gutierrez"/>
        <s v="Victoria Cole"/>
        <s v="Tracy Chavez"/>
        <s v="Kimberly Gregory"/>
        <s v="William Webb"/>
        <s v="Donna Peterson"/>
        <s v="Jessica Long"/>
        <s v="Jamie Williams"/>
        <s v="Guy Shepard"/>
        <s v="Karen Mcbride"/>
        <s v="Jeffery House"/>
        <s v="Natalie Skinner"/>
        <s v="Devin James"/>
        <s v="Tami Warner"/>
        <s v="Mrs. Carol Chambers"/>
        <s v="Traci Reyes"/>
        <s v="Rhonda Robertson"/>
        <s v="Tracy Wood"/>
        <s v="Shannon Stewart"/>
        <s v="Juan Malone"/>
        <s v="Kristin Chapman"/>
        <s v="Ann Adams"/>
        <s v="Jesus Coleman"/>
        <s v="Shawn Burke"/>
        <s v="Ruth Strong"/>
        <s v="Michael Warren"/>
        <s v="Raymond Chavez"/>
        <s v="Scott Peterson"/>
        <s v="Frank Reid"/>
        <s v="Shawna Webb"/>
        <s v="Gregory Murphy"/>
        <s v="Timothy Greene"/>
        <s v="Kimberly Brady"/>
        <s v="Mary Fowler"/>
        <s v="Alexander Bradshaw"/>
        <s v="Jonathan Baird"/>
        <s v="Rebecca Baker"/>
        <s v="Jennifer Sanchez"/>
        <s v="Rebecca Castaneda"/>
        <s v="Darren Scott"/>
        <s v="Nicole Hall"/>
        <s v="Gary Wade"/>
        <s v="Kristen Wood"/>
        <s v="Sean Valenzuela"/>
        <s v="James Smith"/>
        <s v="Marcus Adams"/>
        <s v="Melissa Torres"/>
        <s v="Robert Wade"/>
        <s v="Benjamin White"/>
        <s v="James Jacobs"/>
        <s v="Kristin Underwood"/>
        <s v="David Moore"/>
        <s v="Francisco Lester"/>
        <s v="Nicholas Jennings"/>
        <s v="Andrew Hawkins"/>
        <s v="Jonathan Potter"/>
        <s v="Shelly Dominguez"/>
        <s v="Destiny Johnson"/>
        <s v="Catherine Case"/>
        <s v="Dennis Wolfe"/>
        <s v="Gregory Bates"/>
      </sharedItems>
    </cacheField>
    <cacheField name="Age" numFmtId="0">
      <sharedItems containsSemiMixedTypes="0" containsString="0" containsNumber="1" containsInteger="1" minValue="30" maxValue="89" count="58">
        <n v="68"/>
        <n v="81"/>
        <n v="58"/>
        <n v="44"/>
        <n v="72"/>
        <n v="37"/>
        <n v="50"/>
        <n v="87"/>
        <n v="48"/>
        <n v="52"/>
        <n v="40"/>
        <n v="53"/>
        <n v="82"/>
        <n v="65"/>
        <n v="69"/>
        <n v="32"/>
        <n v="51"/>
        <n v="31"/>
        <n v="73"/>
        <n v="59"/>
        <n v="67"/>
        <n v="89"/>
        <n v="62"/>
        <n v="41"/>
        <n v="54"/>
        <n v="78"/>
        <n v="56"/>
        <n v="88"/>
        <n v="71"/>
        <n v="57"/>
        <n v="45"/>
        <n v="76"/>
        <n v="80"/>
        <n v="84"/>
        <n v="86"/>
        <n v="66"/>
        <n v="36"/>
        <n v="38"/>
        <n v="47"/>
        <n v="33"/>
        <n v="43"/>
        <n v="79"/>
        <n v="55"/>
        <n v="49"/>
        <n v="64"/>
        <n v="46"/>
        <n v="35"/>
        <n v="83"/>
        <n v="63"/>
        <n v="39"/>
        <n v="60"/>
        <n v="77"/>
        <n v="74"/>
        <n v="70"/>
        <n v="30"/>
        <n v="34"/>
        <n v="42"/>
        <n v="61"/>
      </sharedItems>
    </cacheField>
    <cacheField name="Gender" numFmtId="0">
      <sharedItems count="2">
        <s v="M"/>
        <s v="F"/>
      </sharedItems>
    </cacheField>
    <cacheField name="DiagnosisID" numFmtId="0">
      <sharedItems containsSemiMixedTypes="0" containsString="0" containsNumber="1" containsInteger="1" minValue="1" maxValue="10"/>
    </cacheField>
    <cacheField name="AdmissionDate" numFmtId="14">
      <sharedItems containsSemiMixedTypes="0" containsNonDate="0" containsDate="1" containsString="0" minDate="2025-01-01T00:00:00" maxDate="2025-07-01T00:00:00" count="124">
        <d v="2025-03-22T00:00:00"/>
        <d v="2025-03-31T00:00:00"/>
        <d v="2025-01-08T00:00:00"/>
        <d v="2025-04-03T00:00:00"/>
        <d v="2025-06-03T00:00:00"/>
        <d v="2025-06-11T00:00:00"/>
        <d v="2025-04-25T00:00:00"/>
        <d v="2025-04-15T00:00:00"/>
        <d v="2025-05-15T00:00:00"/>
        <d v="2025-02-27T00:00:00"/>
        <d v="2025-04-24T00:00:00"/>
        <d v="2025-03-16T00:00:00"/>
        <d v="2025-06-06T00:00:00"/>
        <d v="2025-04-30T00:00:00"/>
        <d v="2025-06-13T00:00:00"/>
        <d v="2025-01-21T00:00:00"/>
        <d v="2025-05-18T00:00:00"/>
        <d v="2025-04-11T00:00:00"/>
        <d v="2025-06-01T00:00:00"/>
        <d v="2025-06-26T00:00:00"/>
        <d v="2025-04-09T00:00:00"/>
        <d v="2025-02-05T00:00:00"/>
        <d v="2025-04-06T00:00:00"/>
        <d v="2025-05-31T00:00:00"/>
        <d v="2025-02-06T00:00:00"/>
        <d v="2025-01-12T00:00:00"/>
        <d v="2025-04-23T00:00:00"/>
        <d v="2025-01-13T00:00:00"/>
        <d v="2025-01-23T00:00:00"/>
        <d v="2025-01-30T00:00:00"/>
        <d v="2025-01-17T00:00:00"/>
        <d v="2025-03-03T00:00:00"/>
        <d v="2025-03-25T00:00:00"/>
        <d v="2025-04-22T00:00:00"/>
        <d v="2025-03-27T00:00:00"/>
        <d v="2025-05-21T00:00:00"/>
        <d v="2025-01-19T00:00:00"/>
        <d v="2025-04-10T00:00:00"/>
        <d v="2025-05-20T00:00:00"/>
        <d v="2025-05-27T00:00:00"/>
        <d v="2025-03-17T00:00:00"/>
        <d v="2025-01-09T00:00:00"/>
        <d v="2025-01-28T00:00:00"/>
        <d v="2025-05-08T00:00:00"/>
        <d v="2025-02-21T00:00:00"/>
        <d v="2025-03-24T00:00:00"/>
        <d v="2025-04-21T00:00:00"/>
        <d v="2025-05-24T00:00:00"/>
        <d v="2025-04-27T00:00:00"/>
        <d v="2025-03-10T00:00:00"/>
        <d v="2025-01-25T00:00:00"/>
        <d v="2025-06-29T00:00:00"/>
        <d v="2025-05-03T00:00:00"/>
        <d v="2025-02-22T00:00:00"/>
        <d v="2025-02-26T00:00:00"/>
        <d v="2025-02-08T00:00:00"/>
        <d v="2025-04-19T00:00:00"/>
        <d v="2025-06-30T00:00:00"/>
        <d v="2025-02-11T00:00:00"/>
        <d v="2025-06-16T00:00:00"/>
        <d v="2025-05-22T00:00:00"/>
        <d v="2025-05-02T00:00:00"/>
        <d v="2025-05-13T00:00:00"/>
        <d v="2025-06-12T00:00:00"/>
        <d v="2025-05-26T00:00:00"/>
        <d v="2025-03-15T00:00:00"/>
        <d v="2025-05-25T00:00:00"/>
        <d v="2025-01-07T00:00:00"/>
        <d v="2025-06-23T00:00:00"/>
        <d v="2025-06-17T00:00:00"/>
        <d v="2025-06-19T00:00:00"/>
        <d v="2025-05-17T00:00:00"/>
        <d v="2025-06-27T00:00:00"/>
        <d v="2025-01-27T00:00:00"/>
        <d v="2025-01-05T00:00:00"/>
        <d v="2025-01-29T00:00:00"/>
        <d v="2025-06-14T00:00:00"/>
        <d v="2025-06-15T00:00:00"/>
        <d v="2025-05-16T00:00:00"/>
        <d v="2025-03-06T00:00:00"/>
        <d v="2025-03-12T00:00:00"/>
        <d v="2025-02-14T00:00:00"/>
        <d v="2025-05-12T00:00:00"/>
        <d v="2025-03-11T00:00:00"/>
        <d v="2025-06-08T00:00:00"/>
        <d v="2025-04-18T00:00:00"/>
        <d v="2025-04-01T00:00:00"/>
        <d v="2025-05-06T00:00:00"/>
        <d v="2025-06-22T00:00:00"/>
        <d v="2025-05-28T00:00:00"/>
        <d v="2025-03-02T00:00:00"/>
        <d v="2025-05-07T00:00:00"/>
        <d v="2025-01-01T00:00:00"/>
        <d v="2025-05-11T00:00:00"/>
        <d v="2025-04-02T00:00:00"/>
        <d v="2025-06-02T00:00:00"/>
        <d v="2025-02-25T00:00:00"/>
        <d v="2025-06-10T00:00:00"/>
        <d v="2025-05-14T00:00:00"/>
        <d v="2025-02-13T00:00:00"/>
        <d v="2025-06-09T00:00:00"/>
        <d v="2025-02-16T00:00:00"/>
        <d v="2025-05-29T00:00:00"/>
        <d v="2025-03-21T00:00:00"/>
        <d v="2025-04-28T00:00:00"/>
        <d v="2025-01-20T00:00:00"/>
        <d v="2025-02-18T00:00:00"/>
        <d v="2025-01-14T00:00:00"/>
        <d v="2025-05-23T00:00:00"/>
        <d v="2025-02-23T00:00:00"/>
        <d v="2025-01-03T00:00:00"/>
        <d v="2025-01-16T00:00:00"/>
        <d v="2025-04-12T00:00:00"/>
        <d v="2025-06-05T00:00:00"/>
        <d v="2025-03-01T00:00:00"/>
        <d v="2025-02-10T00:00:00"/>
        <d v="2025-06-04T00:00:00"/>
        <d v="2025-02-15T00:00:00"/>
        <d v="2025-02-04T00:00:00"/>
        <d v="2025-03-23T00:00:00"/>
        <d v="2025-01-10T00:00:00"/>
        <d v="2025-04-29T00:00:00"/>
        <d v="2025-02-02T00:00:00"/>
        <d v="2025-01-11T00:00:00"/>
      </sharedItems>
      <fieldGroup par="10"/>
    </cacheField>
    <cacheField name="DischargeDate" numFmtId="14">
      <sharedItems containsSemiMixedTypes="0" containsNonDate="0" containsDate="1" containsString="0" minDate="2025-01-14T00:00:00" maxDate="2025-07-11T00:00:00"/>
    </cacheField>
    <cacheField name="OutcomeID" numFmtId="0">
      <sharedItems containsSemiMixedTypes="0" containsString="0" containsNumber="1" containsInteger="1" minValue="1" maxValue="3"/>
    </cacheField>
    <cacheField name="TreatmentCost" numFmtId="0">
      <sharedItems containsSemiMixedTypes="0" containsString="0" containsNumber="1" containsInteger="1" minValue="2054" maxValue="9973"/>
    </cacheField>
    <cacheField name="Days (AdmissionDate)" numFmtId="0" databaseField="0">
      <fieldGroup base="5">
        <rangePr groupBy="days" startDate="2025-01-01T00:00:00" endDate="2025-07-01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7-2025"/>
        </groupItems>
      </fieldGroup>
    </cacheField>
    <cacheField name="Months (AdmissionDate)" numFmtId="0" databaseField="0">
      <fieldGroup base="5">
        <rangePr groupBy="months" startDate="2025-01-01T00:00:00" endDate="2025-07-01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7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"/>
    <x v="0"/>
    <x v="0"/>
    <x v="0"/>
    <n v="2"/>
    <x v="0"/>
    <d v="2025-04-04T00:00:00"/>
    <n v="1"/>
    <n v="4443"/>
  </r>
  <r>
    <n v="2"/>
    <x v="1"/>
    <x v="1"/>
    <x v="0"/>
    <n v="2"/>
    <x v="1"/>
    <d v="2025-04-02T00:00:00"/>
    <n v="2"/>
    <n v="4265"/>
  </r>
  <r>
    <n v="3"/>
    <x v="2"/>
    <x v="2"/>
    <x v="0"/>
    <n v="6"/>
    <x v="2"/>
    <d v="2025-03-13T00:00:00"/>
    <n v="1"/>
    <n v="4188"/>
  </r>
  <r>
    <n v="4"/>
    <x v="3"/>
    <x v="3"/>
    <x v="1"/>
    <n v="3"/>
    <x v="3"/>
    <d v="2025-04-05T00:00:00"/>
    <n v="1"/>
    <n v="9783"/>
  </r>
  <r>
    <n v="5"/>
    <x v="4"/>
    <x v="4"/>
    <x v="1"/>
    <n v="9"/>
    <x v="4"/>
    <d v="2025-06-04T00:00:00"/>
    <n v="1"/>
    <n v="5005"/>
  </r>
  <r>
    <n v="6"/>
    <x v="5"/>
    <x v="5"/>
    <x v="1"/>
    <n v="4"/>
    <x v="1"/>
    <d v="2025-04-05T00:00:00"/>
    <n v="1"/>
    <n v="5281"/>
  </r>
  <r>
    <n v="7"/>
    <x v="6"/>
    <x v="6"/>
    <x v="1"/>
    <n v="1"/>
    <x v="5"/>
    <d v="2025-07-05T00:00:00"/>
    <n v="2"/>
    <n v="2984"/>
  </r>
  <r>
    <n v="8"/>
    <x v="7"/>
    <x v="0"/>
    <x v="0"/>
    <n v="4"/>
    <x v="6"/>
    <d v="2025-06-19T00:00:00"/>
    <n v="1"/>
    <n v="9136"/>
  </r>
  <r>
    <n v="9"/>
    <x v="8"/>
    <x v="7"/>
    <x v="1"/>
    <n v="1"/>
    <x v="7"/>
    <d v="2025-04-17T00:00:00"/>
    <n v="2"/>
    <n v="9790"/>
  </r>
  <r>
    <n v="10"/>
    <x v="9"/>
    <x v="8"/>
    <x v="0"/>
    <n v="5"/>
    <x v="8"/>
    <d v="2025-05-19T00:00:00"/>
    <n v="2"/>
    <n v="3639"/>
  </r>
  <r>
    <n v="11"/>
    <x v="10"/>
    <x v="9"/>
    <x v="0"/>
    <n v="4"/>
    <x v="9"/>
    <d v="2025-04-18T00:00:00"/>
    <n v="3"/>
    <n v="2827"/>
  </r>
  <r>
    <n v="12"/>
    <x v="11"/>
    <x v="10"/>
    <x v="1"/>
    <n v="8"/>
    <x v="10"/>
    <d v="2025-05-18T00:00:00"/>
    <n v="2"/>
    <n v="4730"/>
  </r>
  <r>
    <n v="13"/>
    <x v="12"/>
    <x v="10"/>
    <x v="1"/>
    <n v="8"/>
    <x v="11"/>
    <d v="2025-06-07T00:00:00"/>
    <n v="3"/>
    <n v="5531"/>
  </r>
  <r>
    <n v="14"/>
    <x v="13"/>
    <x v="11"/>
    <x v="1"/>
    <n v="7"/>
    <x v="12"/>
    <d v="2025-06-10T00:00:00"/>
    <n v="2"/>
    <n v="9147"/>
  </r>
  <r>
    <n v="15"/>
    <x v="14"/>
    <x v="12"/>
    <x v="1"/>
    <n v="3"/>
    <x v="13"/>
    <d v="2025-05-03T00:00:00"/>
    <n v="2"/>
    <n v="6451"/>
  </r>
  <r>
    <n v="16"/>
    <x v="15"/>
    <x v="13"/>
    <x v="1"/>
    <n v="1"/>
    <x v="14"/>
    <d v="2025-06-15T00:00:00"/>
    <n v="2"/>
    <n v="9151"/>
  </r>
  <r>
    <n v="17"/>
    <x v="16"/>
    <x v="14"/>
    <x v="1"/>
    <n v="1"/>
    <x v="15"/>
    <d v="2025-05-22T00:00:00"/>
    <n v="3"/>
    <n v="7443"/>
  </r>
  <r>
    <n v="18"/>
    <x v="17"/>
    <x v="11"/>
    <x v="1"/>
    <n v="3"/>
    <x v="14"/>
    <d v="2025-06-22T00:00:00"/>
    <n v="3"/>
    <n v="9300"/>
  </r>
  <r>
    <n v="19"/>
    <x v="18"/>
    <x v="15"/>
    <x v="1"/>
    <n v="6"/>
    <x v="16"/>
    <d v="2025-05-20T00:00:00"/>
    <n v="1"/>
    <n v="4935"/>
  </r>
  <r>
    <n v="20"/>
    <x v="19"/>
    <x v="16"/>
    <x v="0"/>
    <n v="7"/>
    <x v="17"/>
    <d v="2025-07-09T00:00:00"/>
    <n v="3"/>
    <n v="5876"/>
  </r>
  <r>
    <n v="21"/>
    <x v="20"/>
    <x v="12"/>
    <x v="1"/>
    <n v="6"/>
    <x v="18"/>
    <d v="2025-06-11T00:00:00"/>
    <n v="3"/>
    <n v="7959"/>
  </r>
  <r>
    <n v="22"/>
    <x v="21"/>
    <x v="17"/>
    <x v="1"/>
    <n v="6"/>
    <x v="19"/>
    <d v="2025-07-03T00:00:00"/>
    <n v="3"/>
    <n v="2126"/>
  </r>
  <r>
    <n v="23"/>
    <x v="22"/>
    <x v="11"/>
    <x v="0"/>
    <n v="6"/>
    <x v="20"/>
    <d v="2025-06-23T00:00:00"/>
    <n v="3"/>
    <n v="5177"/>
  </r>
  <r>
    <n v="24"/>
    <x v="23"/>
    <x v="18"/>
    <x v="1"/>
    <n v="3"/>
    <x v="21"/>
    <d v="2025-04-02T00:00:00"/>
    <n v="1"/>
    <n v="5056"/>
  </r>
  <r>
    <n v="25"/>
    <x v="24"/>
    <x v="19"/>
    <x v="0"/>
    <n v="6"/>
    <x v="22"/>
    <d v="2025-06-03T00:00:00"/>
    <n v="3"/>
    <n v="2603"/>
  </r>
  <r>
    <n v="26"/>
    <x v="25"/>
    <x v="20"/>
    <x v="0"/>
    <n v="8"/>
    <x v="18"/>
    <d v="2025-06-02T00:00:00"/>
    <n v="2"/>
    <n v="9966"/>
  </r>
  <r>
    <n v="27"/>
    <x v="26"/>
    <x v="17"/>
    <x v="1"/>
    <n v="2"/>
    <x v="23"/>
    <d v="2025-06-01T00:00:00"/>
    <n v="2"/>
    <n v="5449"/>
  </r>
  <r>
    <n v="28"/>
    <x v="27"/>
    <x v="21"/>
    <x v="0"/>
    <n v="5"/>
    <x v="24"/>
    <d v="2025-04-29T00:00:00"/>
    <n v="3"/>
    <n v="8024"/>
  </r>
  <r>
    <n v="29"/>
    <x v="28"/>
    <x v="6"/>
    <x v="0"/>
    <n v="1"/>
    <x v="25"/>
    <d v="2025-01-14T00:00:00"/>
    <n v="3"/>
    <n v="7109"/>
  </r>
  <r>
    <n v="30"/>
    <x v="29"/>
    <x v="22"/>
    <x v="0"/>
    <n v="1"/>
    <x v="26"/>
    <d v="2025-04-27T00:00:00"/>
    <n v="2"/>
    <n v="6146"/>
  </r>
  <r>
    <n v="31"/>
    <x v="30"/>
    <x v="23"/>
    <x v="0"/>
    <n v="5"/>
    <x v="27"/>
    <d v="2025-07-01T00:00:00"/>
    <n v="2"/>
    <n v="9196"/>
  </r>
  <r>
    <n v="32"/>
    <x v="31"/>
    <x v="7"/>
    <x v="1"/>
    <n v="3"/>
    <x v="28"/>
    <d v="2025-01-27T00:00:00"/>
    <n v="1"/>
    <n v="5533"/>
  </r>
  <r>
    <n v="33"/>
    <x v="32"/>
    <x v="16"/>
    <x v="0"/>
    <n v="4"/>
    <x v="20"/>
    <d v="2025-05-02T00:00:00"/>
    <n v="2"/>
    <n v="5367"/>
  </r>
  <r>
    <n v="34"/>
    <x v="33"/>
    <x v="18"/>
    <x v="1"/>
    <n v="3"/>
    <x v="7"/>
    <d v="2025-04-24T00:00:00"/>
    <n v="2"/>
    <n v="5368"/>
  </r>
  <r>
    <n v="35"/>
    <x v="34"/>
    <x v="24"/>
    <x v="0"/>
    <n v="1"/>
    <x v="29"/>
    <d v="2025-02-12T00:00:00"/>
    <n v="3"/>
    <n v="5797"/>
  </r>
  <r>
    <n v="36"/>
    <x v="35"/>
    <x v="25"/>
    <x v="0"/>
    <n v="1"/>
    <x v="30"/>
    <d v="2025-04-11T00:00:00"/>
    <n v="2"/>
    <n v="8922"/>
  </r>
  <r>
    <n v="37"/>
    <x v="36"/>
    <x v="26"/>
    <x v="0"/>
    <n v="5"/>
    <x v="26"/>
    <d v="2025-05-03T00:00:00"/>
    <n v="1"/>
    <n v="7526"/>
  </r>
  <r>
    <n v="38"/>
    <x v="37"/>
    <x v="27"/>
    <x v="0"/>
    <n v="6"/>
    <x v="31"/>
    <d v="2025-03-22T00:00:00"/>
    <n v="2"/>
    <n v="3792"/>
  </r>
  <r>
    <n v="39"/>
    <x v="38"/>
    <x v="28"/>
    <x v="1"/>
    <n v="3"/>
    <x v="32"/>
    <d v="2025-03-26T00:00:00"/>
    <n v="3"/>
    <n v="4861"/>
  </r>
  <r>
    <n v="40"/>
    <x v="39"/>
    <x v="29"/>
    <x v="1"/>
    <n v="9"/>
    <x v="33"/>
    <d v="2025-06-12T00:00:00"/>
    <n v="3"/>
    <n v="7732"/>
  </r>
  <r>
    <n v="41"/>
    <x v="40"/>
    <x v="21"/>
    <x v="0"/>
    <n v="5"/>
    <x v="34"/>
    <d v="2025-06-20T00:00:00"/>
    <n v="2"/>
    <n v="5476"/>
  </r>
  <r>
    <n v="42"/>
    <x v="41"/>
    <x v="30"/>
    <x v="0"/>
    <n v="8"/>
    <x v="35"/>
    <d v="2025-07-10T00:00:00"/>
    <n v="3"/>
    <n v="5417"/>
  </r>
  <r>
    <n v="43"/>
    <x v="42"/>
    <x v="3"/>
    <x v="1"/>
    <n v="1"/>
    <x v="36"/>
    <d v="2025-05-07T00:00:00"/>
    <n v="1"/>
    <n v="3645"/>
  </r>
  <r>
    <n v="44"/>
    <x v="43"/>
    <x v="31"/>
    <x v="0"/>
    <n v="5"/>
    <x v="19"/>
    <d v="2025-07-05T00:00:00"/>
    <n v="1"/>
    <n v="8563"/>
  </r>
  <r>
    <n v="45"/>
    <x v="44"/>
    <x v="32"/>
    <x v="0"/>
    <n v="3"/>
    <x v="37"/>
    <d v="2025-05-12T00:00:00"/>
    <n v="2"/>
    <n v="3205"/>
  </r>
  <r>
    <n v="46"/>
    <x v="45"/>
    <x v="18"/>
    <x v="0"/>
    <n v="1"/>
    <x v="38"/>
    <d v="2025-05-24T00:00:00"/>
    <n v="2"/>
    <n v="5030"/>
  </r>
  <r>
    <n v="47"/>
    <x v="46"/>
    <x v="33"/>
    <x v="1"/>
    <n v="4"/>
    <x v="39"/>
    <d v="2025-06-05T00:00:00"/>
    <n v="2"/>
    <n v="4872"/>
  </r>
  <r>
    <n v="48"/>
    <x v="47"/>
    <x v="1"/>
    <x v="1"/>
    <n v="5"/>
    <x v="40"/>
    <d v="2025-03-24T00:00:00"/>
    <n v="3"/>
    <n v="5072"/>
  </r>
  <r>
    <n v="49"/>
    <x v="48"/>
    <x v="34"/>
    <x v="1"/>
    <n v="7"/>
    <x v="41"/>
    <d v="2025-05-22T00:00:00"/>
    <n v="1"/>
    <n v="3854"/>
  </r>
  <r>
    <n v="50"/>
    <x v="49"/>
    <x v="15"/>
    <x v="0"/>
    <n v="1"/>
    <x v="42"/>
    <d v="2025-03-07T00:00:00"/>
    <n v="1"/>
    <n v="6021"/>
  </r>
  <r>
    <n v="51"/>
    <x v="50"/>
    <x v="35"/>
    <x v="0"/>
    <n v="3"/>
    <x v="43"/>
    <d v="2025-06-03T00:00:00"/>
    <n v="3"/>
    <n v="6662"/>
  </r>
  <r>
    <n v="52"/>
    <x v="51"/>
    <x v="32"/>
    <x v="1"/>
    <n v="2"/>
    <x v="44"/>
    <d v="2025-05-01T00:00:00"/>
    <n v="1"/>
    <n v="8514"/>
  </r>
  <r>
    <n v="53"/>
    <x v="52"/>
    <x v="36"/>
    <x v="1"/>
    <n v="9"/>
    <x v="45"/>
    <d v="2025-03-28T00:00:00"/>
    <n v="2"/>
    <n v="7031"/>
  </r>
  <r>
    <n v="54"/>
    <x v="53"/>
    <x v="6"/>
    <x v="1"/>
    <n v="10"/>
    <x v="46"/>
    <d v="2025-06-09T00:00:00"/>
    <n v="2"/>
    <n v="8030"/>
  </r>
  <r>
    <n v="55"/>
    <x v="54"/>
    <x v="37"/>
    <x v="1"/>
    <n v="6"/>
    <x v="47"/>
    <d v="2025-06-01T00:00:00"/>
    <n v="2"/>
    <n v="4708"/>
  </r>
  <r>
    <n v="56"/>
    <x v="55"/>
    <x v="0"/>
    <x v="0"/>
    <n v="10"/>
    <x v="48"/>
    <d v="2025-05-31T00:00:00"/>
    <n v="1"/>
    <n v="5502"/>
  </r>
  <r>
    <n v="57"/>
    <x v="56"/>
    <x v="38"/>
    <x v="1"/>
    <n v="3"/>
    <x v="49"/>
    <d v="2025-03-16T00:00:00"/>
    <n v="2"/>
    <n v="9112"/>
  </r>
  <r>
    <n v="58"/>
    <x v="57"/>
    <x v="39"/>
    <x v="0"/>
    <n v="8"/>
    <x v="20"/>
    <d v="2025-04-19T00:00:00"/>
    <n v="3"/>
    <n v="3332"/>
  </r>
  <r>
    <n v="59"/>
    <x v="58"/>
    <x v="24"/>
    <x v="1"/>
    <n v="8"/>
    <x v="38"/>
    <d v="2025-07-07T00:00:00"/>
    <n v="3"/>
    <n v="9304"/>
  </r>
  <r>
    <n v="60"/>
    <x v="59"/>
    <x v="21"/>
    <x v="0"/>
    <n v="2"/>
    <x v="50"/>
    <d v="2025-04-22T00:00:00"/>
    <n v="1"/>
    <n v="2201"/>
  </r>
  <r>
    <n v="61"/>
    <x v="60"/>
    <x v="40"/>
    <x v="1"/>
    <n v="6"/>
    <x v="51"/>
    <d v="2025-07-04T00:00:00"/>
    <n v="3"/>
    <n v="5507"/>
  </r>
  <r>
    <n v="62"/>
    <x v="61"/>
    <x v="41"/>
    <x v="1"/>
    <n v="7"/>
    <x v="52"/>
    <d v="2025-05-04T00:00:00"/>
    <n v="3"/>
    <n v="8456"/>
  </r>
  <r>
    <n v="63"/>
    <x v="62"/>
    <x v="7"/>
    <x v="1"/>
    <n v="2"/>
    <x v="53"/>
    <d v="2025-02-28T00:00:00"/>
    <n v="1"/>
    <n v="6212"/>
  </r>
  <r>
    <n v="64"/>
    <x v="63"/>
    <x v="37"/>
    <x v="1"/>
    <n v="10"/>
    <x v="23"/>
    <d v="2025-06-03T00:00:00"/>
    <n v="2"/>
    <n v="9833"/>
  </r>
  <r>
    <n v="65"/>
    <x v="64"/>
    <x v="42"/>
    <x v="0"/>
    <n v="2"/>
    <x v="47"/>
    <d v="2025-05-31T00:00:00"/>
    <n v="2"/>
    <n v="7032"/>
  </r>
  <r>
    <n v="66"/>
    <x v="65"/>
    <x v="12"/>
    <x v="1"/>
    <n v="10"/>
    <x v="54"/>
    <d v="2025-03-04T00:00:00"/>
    <n v="2"/>
    <n v="9970"/>
  </r>
  <r>
    <n v="67"/>
    <x v="66"/>
    <x v="17"/>
    <x v="0"/>
    <n v="1"/>
    <x v="55"/>
    <d v="2025-03-29T00:00:00"/>
    <n v="1"/>
    <n v="2574"/>
  </r>
  <r>
    <n v="68"/>
    <x v="67"/>
    <x v="43"/>
    <x v="0"/>
    <n v="8"/>
    <x v="56"/>
    <d v="2025-04-24T00:00:00"/>
    <n v="3"/>
    <n v="8387"/>
  </r>
  <r>
    <n v="69"/>
    <x v="68"/>
    <x v="29"/>
    <x v="0"/>
    <n v="1"/>
    <x v="57"/>
    <d v="2025-07-07T00:00:00"/>
    <n v="2"/>
    <n v="2536"/>
  </r>
  <r>
    <n v="70"/>
    <x v="69"/>
    <x v="31"/>
    <x v="0"/>
    <n v="9"/>
    <x v="58"/>
    <d v="2025-03-02T00:00:00"/>
    <n v="2"/>
    <n v="3625"/>
  </r>
  <r>
    <n v="71"/>
    <x v="70"/>
    <x v="21"/>
    <x v="1"/>
    <n v="6"/>
    <x v="59"/>
    <d v="2025-06-24T00:00:00"/>
    <n v="1"/>
    <n v="4122"/>
  </r>
  <r>
    <n v="72"/>
    <x v="71"/>
    <x v="36"/>
    <x v="0"/>
    <n v="7"/>
    <x v="60"/>
    <d v="2025-05-25T00:00:00"/>
    <n v="2"/>
    <n v="9973"/>
  </r>
  <r>
    <n v="73"/>
    <x v="72"/>
    <x v="18"/>
    <x v="0"/>
    <n v="10"/>
    <x v="61"/>
    <d v="2025-05-06T00:00:00"/>
    <n v="1"/>
    <n v="2385"/>
  </r>
  <r>
    <n v="74"/>
    <x v="73"/>
    <x v="5"/>
    <x v="0"/>
    <n v="7"/>
    <x v="62"/>
    <d v="2025-05-19T00:00:00"/>
    <n v="3"/>
    <n v="5281"/>
  </r>
  <r>
    <n v="75"/>
    <x v="74"/>
    <x v="31"/>
    <x v="1"/>
    <n v="10"/>
    <x v="63"/>
    <d v="2025-06-14T00:00:00"/>
    <n v="1"/>
    <n v="2474"/>
  </r>
  <r>
    <n v="76"/>
    <x v="75"/>
    <x v="44"/>
    <x v="1"/>
    <n v="3"/>
    <x v="11"/>
    <d v="2025-03-31T00:00:00"/>
    <n v="1"/>
    <n v="2417"/>
  </r>
  <r>
    <n v="77"/>
    <x v="76"/>
    <x v="40"/>
    <x v="1"/>
    <n v="2"/>
    <x v="64"/>
    <d v="2025-05-28T00:00:00"/>
    <n v="1"/>
    <n v="8490"/>
  </r>
  <r>
    <n v="78"/>
    <x v="77"/>
    <x v="45"/>
    <x v="1"/>
    <n v="9"/>
    <x v="40"/>
    <d v="2025-03-24T00:00:00"/>
    <n v="1"/>
    <n v="5600"/>
  </r>
  <r>
    <n v="79"/>
    <x v="78"/>
    <x v="13"/>
    <x v="0"/>
    <n v="8"/>
    <x v="41"/>
    <d v="2025-05-21T00:00:00"/>
    <n v="3"/>
    <n v="8783"/>
  </r>
  <r>
    <n v="80"/>
    <x v="79"/>
    <x v="41"/>
    <x v="0"/>
    <n v="10"/>
    <x v="65"/>
    <d v="2025-05-27T00:00:00"/>
    <n v="3"/>
    <n v="7034"/>
  </r>
  <r>
    <n v="81"/>
    <x v="80"/>
    <x v="14"/>
    <x v="1"/>
    <n v="7"/>
    <x v="66"/>
    <d v="2025-06-03T00:00:00"/>
    <n v="2"/>
    <n v="2954"/>
  </r>
  <r>
    <n v="82"/>
    <x v="81"/>
    <x v="39"/>
    <x v="0"/>
    <n v="9"/>
    <x v="67"/>
    <d v="2025-03-24T00:00:00"/>
    <n v="3"/>
    <n v="6971"/>
  </r>
  <r>
    <n v="83"/>
    <x v="82"/>
    <x v="17"/>
    <x v="0"/>
    <n v="4"/>
    <x v="68"/>
    <d v="2025-06-25T00:00:00"/>
    <n v="3"/>
    <n v="6858"/>
  </r>
  <r>
    <n v="84"/>
    <x v="83"/>
    <x v="46"/>
    <x v="0"/>
    <n v="4"/>
    <x v="35"/>
    <d v="2025-05-27T00:00:00"/>
    <n v="2"/>
    <n v="7298"/>
  </r>
  <r>
    <n v="85"/>
    <x v="84"/>
    <x v="47"/>
    <x v="1"/>
    <n v="1"/>
    <x v="69"/>
    <d v="2025-06-23T00:00:00"/>
    <n v="3"/>
    <n v="3205"/>
  </r>
  <r>
    <n v="86"/>
    <x v="85"/>
    <x v="28"/>
    <x v="1"/>
    <n v="8"/>
    <x v="70"/>
    <d v="2025-06-29T00:00:00"/>
    <n v="1"/>
    <n v="6759"/>
  </r>
  <r>
    <n v="87"/>
    <x v="86"/>
    <x v="39"/>
    <x v="0"/>
    <n v="3"/>
    <x v="71"/>
    <d v="2025-05-22T00:00:00"/>
    <n v="1"/>
    <n v="6120"/>
  </r>
  <r>
    <n v="88"/>
    <x v="87"/>
    <x v="47"/>
    <x v="1"/>
    <n v="7"/>
    <x v="72"/>
    <d v="2025-06-28T00:00:00"/>
    <n v="2"/>
    <n v="3990"/>
  </r>
  <r>
    <n v="89"/>
    <x v="88"/>
    <x v="2"/>
    <x v="1"/>
    <n v="2"/>
    <x v="73"/>
    <d v="2025-05-15T00:00:00"/>
    <n v="2"/>
    <n v="7299"/>
  </r>
  <r>
    <n v="90"/>
    <x v="89"/>
    <x v="38"/>
    <x v="1"/>
    <n v="2"/>
    <x v="61"/>
    <d v="2025-05-10T00:00:00"/>
    <n v="2"/>
    <n v="6805"/>
  </r>
  <r>
    <n v="91"/>
    <x v="90"/>
    <x v="42"/>
    <x v="1"/>
    <n v="7"/>
    <x v="74"/>
    <d v="2025-05-04T00:00:00"/>
    <n v="1"/>
    <n v="5572"/>
  </r>
  <r>
    <n v="92"/>
    <x v="91"/>
    <x v="18"/>
    <x v="1"/>
    <n v="6"/>
    <x v="75"/>
    <d v="2025-04-30T00:00:00"/>
    <n v="3"/>
    <n v="7975"/>
  </r>
  <r>
    <n v="93"/>
    <x v="92"/>
    <x v="48"/>
    <x v="0"/>
    <n v="3"/>
    <x v="76"/>
    <d v="2025-06-23T00:00:00"/>
    <n v="1"/>
    <n v="7280"/>
  </r>
  <r>
    <n v="94"/>
    <x v="93"/>
    <x v="49"/>
    <x v="1"/>
    <n v="9"/>
    <x v="77"/>
    <d v="2025-06-17T00:00:00"/>
    <n v="2"/>
    <n v="8320"/>
  </r>
  <r>
    <n v="95"/>
    <x v="94"/>
    <x v="13"/>
    <x v="0"/>
    <n v="10"/>
    <x v="45"/>
    <d v="2025-04-14T00:00:00"/>
    <n v="3"/>
    <n v="6380"/>
  </r>
  <r>
    <n v="96"/>
    <x v="95"/>
    <x v="40"/>
    <x v="0"/>
    <n v="6"/>
    <x v="78"/>
    <d v="2025-05-23T00:00:00"/>
    <n v="3"/>
    <n v="6158"/>
  </r>
  <r>
    <n v="97"/>
    <x v="96"/>
    <x v="50"/>
    <x v="1"/>
    <n v="10"/>
    <x v="56"/>
    <d v="2025-06-02T00:00:00"/>
    <n v="1"/>
    <n v="7098"/>
  </r>
  <r>
    <n v="98"/>
    <x v="97"/>
    <x v="51"/>
    <x v="0"/>
    <n v="10"/>
    <x v="79"/>
    <d v="2025-03-08T00:00:00"/>
    <n v="2"/>
    <n v="6757"/>
  </r>
  <r>
    <n v="99"/>
    <x v="98"/>
    <x v="3"/>
    <x v="0"/>
    <n v="6"/>
    <x v="34"/>
    <d v="2025-05-21T00:00:00"/>
    <n v="1"/>
    <n v="4713"/>
  </r>
  <r>
    <n v="100"/>
    <x v="99"/>
    <x v="5"/>
    <x v="0"/>
    <n v="1"/>
    <x v="66"/>
    <d v="2025-06-03T00:00:00"/>
    <n v="3"/>
    <n v="4203"/>
  </r>
  <r>
    <n v="101"/>
    <x v="100"/>
    <x v="40"/>
    <x v="1"/>
    <n v="4"/>
    <x v="80"/>
    <d v="2025-05-21T00:00:00"/>
    <n v="1"/>
    <n v="7588"/>
  </r>
  <r>
    <n v="102"/>
    <x v="101"/>
    <x v="9"/>
    <x v="1"/>
    <n v="10"/>
    <x v="81"/>
    <d v="2025-02-19T00:00:00"/>
    <n v="1"/>
    <n v="5120"/>
  </r>
  <r>
    <n v="103"/>
    <x v="102"/>
    <x v="21"/>
    <x v="0"/>
    <n v="6"/>
    <x v="82"/>
    <d v="2025-05-22T00:00:00"/>
    <n v="2"/>
    <n v="2966"/>
  </r>
  <r>
    <n v="104"/>
    <x v="103"/>
    <x v="34"/>
    <x v="1"/>
    <n v="6"/>
    <x v="21"/>
    <d v="2025-06-13T00:00:00"/>
    <n v="2"/>
    <n v="6944"/>
  </r>
  <r>
    <n v="105"/>
    <x v="104"/>
    <x v="14"/>
    <x v="1"/>
    <n v="5"/>
    <x v="83"/>
    <d v="2025-04-12T00:00:00"/>
    <n v="3"/>
    <n v="7203"/>
  </r>
  <r>
    <n v="106"/>
    <x v="105"/>
    <x v="6"/>
    <x v="1"/>
    <n v="1"/>
    <x v="84"/>
    <d v="2025-06-18T00:00:00"/>
    <n v="1"/>
    <n v="5432"/>
  </r>
  <r>
    <n v="107"/>
    <x v="106"/>
    <x v="30"/>
    <x v="1"/>
    <n v="8"/>
    <x v="36"/>
    <d v="2025-07-06T00:00:00"/>
    <n v="1"/>
    <n v="2688"/>
  </r>
  <r>
    <n v="108"/>
    <x v="107"/>
    <x v="52"/>
    <x v="0"/>
    <n v="5"/>
    <x v="85"/>
    <d v="2025-04-24T00:00:00"/>
    <n v="1"/>
    <n v="6243"/>
  </r>
  <r>
    <n v="109"/>
    <x v="108"/>
    <x v="38"/>
    <x v="0"/>
    <n v="5"/>
    <x v="59"/>
    <d v="2025-06-26T00:00:00"/>
    <n v="3"/>
    <n v="5701"/>
  </r>
  <r>
    <n v="110"/>
    <x v="109"/>
    <x v="31"/>
    <x v="1"/>
    <n v="7"/>
    <x v="86"/>
    <d v="2025-04-05T00:00:00"/>
    <n v="3"/>
    <n v="2341"/>
  </r>
  <r>
    <n v="111"/>
    <x v="110"/>
    <x v="12"/>
    <x v="1"/>
    <n v="4"/>
    <x v="1"/>
    <d v="2025-06-05T00:00:00"/>
    <n v="2"/>
    <n v="8619"/>
  </r>
  <r>
    <n v="112"/>
    <x v="111"/>
    <x v="11"/>
    <x v="0"/>
    <n v="6"/>
    <x v="36"/>
    <d v="2025-01-30T00:00:00"/>
    <n v="2"/>
    <n v="7182"/>
  </r>
  <r>
    <n v="113"/>
    <x v="112"/>
    <x v="42"/>
    <x v="0"/>
    <n v="4"/>
    <x v="55"/>
    <d v="2025-02-10T00:00:00"/>
    <n v="2"/>
    <n v="3724"/>
  </r>
  <r>
    <n v="114"/>
    <x v="113"/>
    <x v="24"/>
    <x v="1"/>
    <n v="3"/>
    <x v="87"/>
    <d v="2025-05-07T00:00:00"/>
    <n v="1"/>
    <n v="7479"/>
  </r>
  <r>
    <n v="115"/>
    <x v="114"/>
    <x v="21"/>
    <x v="0"/>
    <n v="7"/>
    <x v="88"/>
    <d v="2025-06-28T00:00:00"/>
    <n v="1"/>
    <n v="8704"/>
  </r>
  <r>
    <n v="116"/>
    <x v="115"/>
    <x v="21"/>
    <x v="1"/>
    <n v="8"/>
    <x v="35"/>
    <d v="2025-05-25T00:00:00"/>
    <n v="2"/>
    <n v="6422"/>
  </r>
  <r>
    <n v="117"/>
    <x v="116"/>
    <x v="21"/>
    <x v="1"/>
    <n v="4"/>
    <x v="87"/>
    <d v="2025-05-11T00:00:00"/>
    <n v="1"/>
    <n v="3792"/>
  </r>
  <r>
    <n v="118"/>
    <x v="117"/>
    <x v="52"/>
    <x v="0"/>
    <n v="2"/>
    <x v="9"/>
    <d v="2025-06-07T00:00:00"/>
    <n v="2"/>
    <n v="3759"/>
  </r>
  <r>
    <n v="119"/>
    <x v="118"/>
    <x v="53"/>
    <x v="0"/>
    <n v="10"/>
    <x v="89"/>
    <d v="2025-05-30T00:00:00"/>
    <n v="3"/>
    <n v="5212"/>
  </r>
  <r>
    <n v="120"/>
    <x v="119"/>
    <x v="2"/>
    <x v="1"/>
    <n v="3"/>
    <x v="90"/>
    <d v="2025-03-06T00:00:00"/>
    <n v="2"/>
    <n v="2989"/>
  </r>
  <r>
    <n v="121"/>
    <x v="120"/>
    <x v="3"/>
    <x v="1"/>
    <n v="1"/>
    <x v="91"/>
    <d v="2025-05-22T00:00:00"/>
    <n v="3"/>
    <n v="4262"/>
  </r>
  <r>
    <n v="122"/>
    <x v="121"/>
    <x v="52"/>
    <x v="0"/>
    <n v="8"/>
    <x v="7"/>
    <d v="2025-04-17T00:00:00"/>
    <n v="1"/>
    <n v="4482"/>
  </r>
  <r>
    <n v="123"/>
    <x v="122"/>
    <x v="54"/>
    <x v="1"/>
    <n v="3"/>
    <x v="59"/>
    <d v="2025-06-23T00:00:00"/>
    <n v="2"/>
    <n v="2951"/>
  </r>
  <r>
    <n v="124"/>
    <x v="123"/>
    <x v="24"/>
    <x v="0"/>
    <n v="10"/>
    <x v="92"/>
    <d v="2025-02-24T00:00:00"/>
    <n v="1"/>
    <n v="2722"/>
  </r>
  <r>
    <n v="125"/>
    <x v="124"/>
    <x v="36"/>
    <x v="1"/>
    <n v="7"/>
    <x v="93"/>
    <d v="2025-05-16T00:00:00"/>
    <n v="3"/>
    <n v="5389"/>
  </r>
  <r>
    <n v="126"/>
    <x v="125"/>
    <x v="37"/>
    <x v="0"/>
    <n v="10"/>
    <x v="94"/>
    <d v="2025-07-05T00:00:00"/>
    <n v="3"/>
    <n v="4079"/>
  </r>
  <r>
    <n v="127"/>
    <x v="126"/>
    <x v="11"/>
    <x v="0"/>
    <n v="5"/>
    <x v="26"/>
    <d v="2025-05-01T00:00:00"/>
    <n v="3"/>
    <n v="4717"/>
  </r>
  <r>
    <n v="128"/>
    <x v="127"/>
    <x v="54"/>
    <x v="0"/>
    <n v="10"/>
    <x v="95"/>
    <d v="2025-06-08T00:00:00"/>
    <n v="1"/>
    <n v="4332"/>
  </r>
  <r>
    <n v="129"/>
    <x v="128"/>
    <x v="18"/>
    <x v="1"/>
    <n v="5"/>
    <x v="96"/>
    <d v="2025-06-13T00:00:00"/>
    <n v="1"/>
    <n v="5376"/>
  </r>
  <r>
    <n v="130"/>
    <x v="129"/>
    <x v="5"/>
    <x v="1"/>
    <n v="7"/>
    <x v="97"/>
    <d v="2025-06-13T00:00:00"/>
    <n v="1"/>
    <n v="6524"/>
  </r>
  <r>
    <n v="131"/>
    <x v="130"/>
    <x v="11"/>
    <x v="0"/>
    <n v="9"/>
    <x v="77"/>
    <d v="2025-06-21T00:00:00"/>
    <n v="1"/>
    <n v="3500"/>
  </r>
  <r>
    <n v="132"/>
    <x v="131"/>
    <x v="10"/>
    <x v="1"/>
    <n v="5"/>
    <x v="48"/>
    <d v="2025-05-03T00:00:00"/>
    <n v="3"/>
    <n v="2285"/>
  </r>
  <r>
    <n v="133"/>
    <x v="132"/>
    <x v="32"/>
    <x v="0"/>
    <n v="1"/>
    <x v="98"/>
    <d v="2025-05-18T00:00:00"/>
    <n v="3"/>
    <n v="9311"/>
  </r>
  <r>
    <n v="134"/>
    <x v="133"/>
    <x v="45"/>
    <x v="0"/>
    <n v="10"/>
    <x v="9"/>
    <d v="2025-03-06T00:00:00"/>
    <n v="2"/>
    <n v="5495"/>
  </r>
  <r>
    <n v="135"/>
    <x v="134"/>
    <x v="5"/>
    <x v="1"/>
    <n v="10"/>
    <x v="99"/>
    <d v="2025-04-13T00:00:00"/>
    <n v="2"/>
    <n v="9186"/>
  </r>
  <r>
    <n v="136"/>
    <x v="135"/>
    <x v="44"/>
    <x v="1"/>
    <n v="1"/>
    <x v="88"/>
    <d v="2025-06-27T00:00:00"/>
    <n v="1"/>
    <n v="4065"/>
  </r>
  <r>
    <n v="137"/>
    <x v="136"/>
    <x v="44"/>
    <x v="0"/>
    <n v="2"/>
    <x v="100"/>
    <d v="2025-06-11T00:00:00"/>
    <n v="3"/>
    <n v="2768"/>
  </r>
  <r>
    <n v="138"/>
    <x v="137"/>
    <x v="22"/>
    <x v="1"/>
    <n v="6"/>
    <x v="88"/>
    <d v="2025-07-02T00:00:00"/>
    <n v="3"/>
    <n v="8733"/>
  </r>
  <r>
    <n v="139"/>
    <x v="138"/>
    <x v="27"/>
    <x v="1"/>
    <n v="9"/>
    <x v="90"/>
    <d v="2025-03-11T00:00:00"/>
    <n v="3"/>
    <n v="7490"/>
  </r>
  <r>
    <n v="140"/>
    <x v="139"/>
    <x v="55"/>
    <x v="0"/>
    <n v="8"/>
    <x v="101"/>
    <d v="2025-03-31T00:00:00"/>
    <n v="2"/>
    <n v="9342"/>
  </r>
  <r>
    <n v="141"/>
    <x v="140"/>
    <x v="28"/>
    <x v="0"/>
    <n v="5"/>
    <x v="102"/>
    <d v="2025-06-01T00:00:00"/>
    <n v="2"/>
    <n v="5057"/>
  </r>
  <r>
    <n v="142"/>
    <x v="141"/>
    <x v="0"/>
    <x v="1"/>
    <n v="1"/>
    <x v="103"/>
    <d v="2025-03-30T00:00:00"/>
    <n v="3"/>
    <n v="6289"/>
  </r>
  <r>
    <n v="143"/>
    <x v="142"/>
    <x v="7"/>
    <x v="0"/>
    <n v="7"/>
    <x v="104"/>
    <d v="2025-05-02T00:00:00"/>
    <n v="3"/>
    <n v="8645"/>
  </r>
  <r>
    <n v="144"/>
    <x v="143"/>
    <x v="53"/>
    <x v="0"/>
    <n v="5"/>
    <x v="14"/>
    <d v="2025-06-16T00:00:00"/>
    <n v="3"/>
    <n v="7083"/>
  </r>
  <r>
    <n v="145"/>
    <x v="144"/>
    <x v="29"/>
    <x v="1"/>
    <n v="6"/>
    <x v="39"/>
    <d v="2025-06-04T00:00:00"/>
    <n v="2"/>
    <n v="7232"/>
  </r>
  <r>
    <n v="146"/>
    <x v="145"/>
    <x v="36"/>
    <x v="0"/>
    <n v="7"/>
    <x v="105"/>
    <d v="2025-04-18T00:00:00"/>
    <n v="3"/>
    <n v="4161"/>
  </r>
  <r>
    <n v="147"/>
    <x v="146"/>
    <x v="37"/>
    <x v="0"/>
    <n v="3"/>
    <x v="64"/>
    <d v="2025-07-08T00:00:00"/>
    <n v="3"/>
    <n v="5293"/>
  </r>
  <r>
    <n v="148"/>
    <x v="147"/>
    <x v="5"/>
    <x v="1"/>
    <n v="10"/>
    <x v="101"/>
    <d v="2025-02-25T00:00:00"/>
    <n v="1"/>
    <n v="7797"/>
  </r>
  <r>
    <n v="149"/>
    <x v="148"/>
    <x v="23"/>
    <x v="1"/>
    <n v="3"/>
    <x v="106"/>
    <d v="2025-05-16T00:00:00"/>
    <n v="1"/>
    <n v="2946"/>
  </r>
  <r>
    <n v="150"/>
    <x v="149"/>
    <x v="48"/>
    <x v="0"/>
    <n v="5"/>
    <x v="107"/>
    <d v="2025-03-06T00:00:00"/>
    <n v="2"/>
    <n v="6926"/>
  </r>
  <r>
    <n v="151"/>
    <x v="150"/>
    <x v="22"/>
    <x v="0"/>
    <n v="6"/>
    <x v="108"/>
    <d v="2025-05-30T00:00:00"/>
    <n v="3"/>
    <n v="9811"/>
  </r>
  <r>
    <n v="152"/>
    <x v="151"/>
    <x v="51"/>
    <x v="1"/>
    <n v="9"/>
    <x v="84"/>
    <d v="2025-06-13T00:00:00"/>
    <n v="3"/>
    <n v="8016"/>
  </r>
  <r>
    <n v="153"/>
    <x v="152"/>
    <x v="33"/>
    <x v="1"/>
    <n v="5"/>
    <x v="92"/>
    <d v="2025-03-28T00:00:00"/>
    <n v="1"/>
    <n v="5335"/>
  </r>
  <r>
    <n v="154"/>
    <x v="153"/>
    <x v="9"/>
    <x v="1"/>
    <n v="1"/>
    <x v="48"/>
    <d v="2025-05-19T00:00:00"/>
    <n v="2"/>
    <n v="9068"/>
  </r>
  <r>
    <n v="155"/>
    <x v="154"/>
    <x v="11"/>
    <x v="1"/>
    <n v="4"/>
    <x v="109"/>
    <d v="2025-04-28T00:00:00"/>
    <n v="1"/>
    <n v="6150"/>
  </r>
  <r>
    <n v="156"/>
    <x v="155"/>
    <x v="35"/>
    <x v="0"/>
    <n v="5"/>
    <x v="104"/>
    <d v="2025-06-12T00:00:00"/>
    <n v="1"/>
    <n v="9810"/>
  </r>
  <r>
    <n v="157"/>
    <x v="156"/>
    <x v="44"/>
    <x v="1"/>
    <n v="10"/>
    <x v="110"/>
    <d v="2025-01-23T00:00:00"/>
    <n v="1"/>
    <n v="6895"/>
  </r>
  <r>
    <n v="158"/>
    <x v="157"/>
    <x v="18"/>
    <x v="1"/>
    <n v="10"/>
    <x v="47"/>
    <d v="2025-06-02T00:00:00"/>
    <n v="1"/>
    <n v="6873"/>
  </r>
  <r>
    <n v="159"/>
    <x v="158"/>
    <x v="14"/>
    <x v="0"/>
    <n v="5"/>
    <x v="25"/>
    <d v="2025-05-04T00:00:00"/>
    <n v="3"/>
    <n v="3481"/>
  </r>
  <r>
    <n v="160"/>
    <x v="159"/>
    <x v="16"/>
    <x v="1"/>
    <n v="7"/>
    <x v="65"/>
    <d v="2025-03-19T00:00:00"/>
    <n v="3"/>
    <n v="3901"/>
  </r>
  <r>
    <n v="161"/>
    <x v="160"/>
    <x v="26"/>
    <x v="0"/>
    <n v="4"/>
    <x v="111"/>
    <d v="2025-01-22T00:00:00"/>
    <n v="1"/>
    <n v="8305"/>
  </r>
  <r>
    <n v="162"/>
    <x v="161"/>
    <x v="44"/>
    <x v="1"/>
    <n v="1"/>
    <x v="112"/>
    <d v="2025-04-30T00:00:00"/>
    <n v="2"/>
    <n v="5451"/>
  </r>
  <r>
    <n v="163"/>
    <x v="162"/>
    <x v="54"/>
    <x v="1"/>
    <n v="5"/>
    <x v="18"/>
    <d v="2025-06-09T00:00:00"/>
    <n v="2"/>
    <n v="6064"/>
  </r>
  <r>
    <n v="164"/>
    <x v="163"/>
    <x v="44"/>
    <x v="1"/>
    <n v="7"/>
    <x v="113"/>
    <d v="2025-06-06T00:00:00"/>
    <n v="2"/>
    <n v="8230"/>
  </r>
  <r>
    <n v="165"/>
    <x v="164"/>
    <x v="35"/>
    <x v="0"/>
    <n v="10"/>
    <x v="48"/>
    <d v="2025-05-01T00:00:00"/>
    <n v="2"/>
    <n v="2054"/>
  </r>
  <r>
    <n v="166"/>
    <x v="165"/>
    <x v="31"/>
    <x v="0"/>
    <n v="10"/>
    <x v="2"/>
    <d v="2025-02-16T00:00:00"/>
    <n v="1"/>
    <n v="9643"/>
  </r>
  <r>
    <n v="167"/>
    <x v="166"/>
    <x v="40"/>
    <x v="1"/>
    <n v="6"/>
    <x v="61"/>
    <d v="2025-05-04T00:00:00"/>
    <n v="3"/>
    <n v="3823"/>
  </r>
  <r>
    <n v="168"/>
    <x v="167"/>
    <x v="15"/>
    <x v="0"/>
    <n v="5"/>
    <x v="94"/>
    <d v="2025-04-03T00:00:00"/>
    <n v="2"/>
    <n v="7297"/>
  </r>
  <r>
    <n v="169"/>
    <x v="168"/>
    <x v="54"/>
    <x v="0"/>
    <n v="4"/>
    <x v="14"/>
    <d v="2025-06-19T00:00:00"/>
    <n v="1"/>
    <n v="5462"/>
  </r>
  <r>
    <n v="170"/>
    <x v="169"/>
    <x v="55"/>
    <x v="0"/>
    <n v="2"/>
    <x v="1"/>
    <d v="2025-04-07T00:00:00"/>
    <n v="2"/>
    <n v="9516"/>
  </r>
  <r>
    <n v="171"/>
    <x v="170"/>
    <x v="42"/>
    <x v="0"/>
    <n v="4"/>
    <x v="78"/>
    <d v="2025-05-21T00:00:00"/>
    <n v="2"/>
    <n v="5079"/>
  </r>
  <r>
    <n v="172"/>
    <x v="171"/>
    <x v="33"/>
    <x v="0"/>
    <n v="10"/>
    <x v="114"/>
    <d v="2025-03-03T00:00:00"/>
    <n v="1"/>
    <n v="2832"/>
  </r>
  <r>
    <n v="173"/>
    <x v="172"/>
    <x v="40"/>
    <x v="0"/>
    <n v="10"/>
    <x v="72"/>
    <d v="2025-07-01T00:00:00"/>
    <n v="3"/>
    <n v="6408"/>
  </r>
  <r>
    <n v="174"/>
    <x v="173"/>
    <x v="0"/>
    <x v="1"/>
    <n v="3"/>
    <x v="42"/>
    <d v="2025-05-15T00:00:00"/>
    <n v="3"/>
    <n v="4806"/>
  </r>
  <r>
    <n v="175"/>
    <x v="174"/>
    <x v="26"/>
    <x v="1"/>
    <n v="10"/>
    <x v="17"/>
    <d v="2025-04-21T00:00:00"/>
    <n v="1"/>
    <n v="7954"/>
  </r>
  <r>
    <n v="176"/>
    <x v="175"/>
    <x v="37"/>
    <x v="0"/>
    <n v="1"/>
    <x v="115"/>
    <d v="2025-02-16T00:00:00"/>
    <n v="3"/>
    <n v="8103"/>
  </r>
  <r>
    <n v="177"/>
    <x v="176"/>
    <x v="3"/>
    <x v="1"/>
    <n v="8"/>
    <x v="116"/>
    <d v="2025-06-08T00:00:00"/>
    <n v="1"/>
    <n v="8102"/>
  </r>
  <r>
    <n v="178"/>
    <x v="177"/>
    <x v="3"/>
    <x v="1"/>
    <n v="5"/>
    <x v="66"/>
    <d v="2025-06-02T00:00:00"/>
    <n v="1"/>
    <n v="4490"/>
  </r>
  <r>
    <n v="179"/>
    <x v="178"/>
    <x v="42"/>
    <x v="1"/>
    <n v="4"/>
    <x v="97"/>
    <d v="2025-06-17T00:00:00"/>
    <n v="1"/>
    <n v="7886"/>
  </r>
  <r>
    <n v="180"/>
    <x v="179"/>
    <x v="28"/>
    <x v="1"/>
    <n v="8"/>
    <x v="12"/>
    <d v="2025-06-14T00:00:00"/>
    <n v="3"/>
    <n v="2327"/>
  </r>
  <r>
    <n v="181"/>
    <x v="180"/>
    <x v="21"/>
    <x v="0"/>
    <n v="7"/>
    <x v="35"/>
    <d v="2025-05-27T00:00:00"/>
    <n v="1"/>
    <n v="9221"/>
  </r>
  <r>
    <n v="182"/>
    <x v="181"/>
    <x v="56"/>
    <x v="1"/>
    <n v="2"/>
    <x v="117"/>
    <d v="2025-03-17T00:00:00"/>
    <n v="2"/>
    <n v="8904"/>
  </r>
  <r>
    <n v="183"/>
    <x v="182"/>
    <x v="32"/>
    <x v="1"/>
    <n v="1"/>
    <x v="118"/>
    <d v="2025-04-28T00:00:00"/>
    <n v="3"/>
    <n v="5310"/>
  </r>
  <r>
    <n v="184"/>
    <x v="183"/>
    <x v="57"/>
    <x v="0"/>
    <n v="4"/>
    <x v="98"/>
    <d v="2025-06-04T00:00:00"/>
    <n v="3"/>
    <n v="5300"/>
  </r>
  <r>
    <n v="185"/>
    <x v="184"/>
    <x v="0"/>
    <x v="0"/>
    <n v="8"/>
    <x v="119"/>
    <d v="2025-04-30T00:00:00"/>
    <n v="3"/>
    <n v="8722"/>
  </r>
  <r>
    <n v="186"/>
    <x v="185"/>
    <x v="25"/>
    <x v="1"/>
    <n v="2"/>
    <x v="6"/>
    <d v="2025-04-30T00:00:00"/>
    <n v="3"/>
    <n v="9218"/>
  </r>
  <r>
    <n v="187"/>
    <x v="186"/>
    <x v="1"/>
    <x v="1"/>
    <n v="3"/>
    <x v="101"/>
    <d v="2025-02-19T00:00:00"/>
    <n v="2"/>
    <n v="9776"/>
  </r>
  <r>
    <n v="188"/>
    <x v="187"/>
    <x v="57"/>
    <x v="1"/>
    <n v="1"/>
    <x v="95"/>
    <d v="2025-06-07T00:00:00"/>
    <n v="3"/>
    <n v="5675"/>
  </r>
  <r>
    <n v="189"/>
    <x v="188"/>
    <x v="39"/>
    <x v="1"/>
    <n v="1"/>
    <x v="120"/>
    <d v="2025-01-17T00:00:00"/>
    <n v="3"/>
    <n v="5054"/>
  </r>
  <r>
    <n v="190"/>
    <x v="189"/>
    <x v="19"/>
    <x v="1"/>
    <n v="3"/>
    <x v="96"/>
    <d v="2025-06-26T00:00:00"/>
    <n v="1"/>
    <n v="7383"/>
  </r>
  <r>
    <n v="191"/>
    <x v="190"/>
    <x v="35"/>
    <x v="1"/>
    <n v="5"/>
    <x v="29"/>
    <d v="2025-05-02T00:00:00"/>
    <n v="3"/>
    <n v="9585"/>
  </r>
  <r>
    <n v="192"/>
    <x v="191"/>
    <x v="9"/>
    <x v="0"/>
    <n v="3"/>
    <x v="56"/>
    <d v="2025-04-22T00:00:00"/>
    <n v="2"/>
    <n v="9970"/>
  </r>
  <r>
    <n v="193"/>
    <x v="192"/>
    <x v="0"/>
    <x v="1"/>
    <n v="1"/>
    <x v="74"/>
    <d v="2025-02-20T00:00:00"/>
    <n v="2"/>
    <n v="4143"/>
  </r>
  <r>
    <n v="194"/>
    <x v="193"/>
    <x v="52"/>
    <x v="1"/>
    <n v="1"/>
    <x v="121"/>
    <d v="2025-06-27T00:00:00"/>
    <n v="2"/>
    <n v="7207"/>
  </r>
  <r>
    <n v="195"/>
    <x v="194"/>
    <x v="3"/>
    <x v="0"/>
    <n v="8"/>
    <x v="122"/>
    <d v="2025-04-20T00:00:00"/>
    <n v="2"/>
    <n v="9245"/>
  </r>
  <r>
    <n v="196"/>
    <x v="195"/>
    <x v="4"/>
    <x v="0"/>
    <n v="10"/>
    <x v="104"/>
    <d v="2025-05-02T00:00:00"/>
    <n v="3"/>
    <n v="3311"/>
  </r>
  <r>
    <n v="197"/>
    <x v="196"/>
    <x v="2"/>
    <x v="0"/>
    <n v="2"/>
    <x v="79"/>
    <d v="2025-07-08T00:00:00"/>
    <n v="3"/>
    <n v="5191"/>
  </r>
  <r>
    <n v="198"/>
    <x v="197"/>
    <x v="13"/>
    <x v="0"/>
    <n v="3"/>
    <x v="64"/>
    <d v="2025-06-04T00:00:00"/>
    <n v="2"/>
    <n v="8957"/>
  </r>
  <r>
    <n v="199"/>
    <x v="198"/>
    <x v="56"/>
    <x v="1"/>
    <n v="2"/>
    <x v="19"/>
    <d v="2025-07-05T00:00:00"/>
    <n v="2"/>
    <n v="4538"/>
  </r>
  <r>
    <n v="200"/>
    <x v="199"/>
    <x v="57"/>
    <x v="1"/>
    <n v="3"/>
    <x v="123"/>
    <d v="2025-03-09T00:00:00"/>
    <n v="3"/>
    <n v="59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AC739-E075-41CB-BEBD-462519D2242F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  ">
  <location ref="C6:D15" firstHeaderRow="1" firstDataRow="1" firstDataCol="1" rowPageCount="1" colPageCount="1"/>
  <pivotFields count="11">
    <pivotField showAll="0"/>
    <pivotField axis="axisRow" showAll="0">
      <items count="201">
        <item x="24"/>
        <item x="173"/>
        <item x="94"/>
        <item x="135"/>
        <item x="122"/>
        <item x="97"/>
        <item x="193"/>
        <item x="106"/>
        <item x="160"/>
        <item x="34"/>
        <item x="111"/>
        <item x="93"/>
        <item x="115"/>
        <item x="120"/>
        <item x="54"/>
        <item x="108"/>
        <item x="9"/>
        <item x="187"/>
        <item x="35"/>
        <item x="41"/>
        <item x="87"/>
        <item x="104"/>
        <item x="26"/>
        <item x="27"/>
        <item x="134"/>
        <item x="30"/>
        <item x="53"/>
        <item x="46"/>
        <item x="125"/>
        <item x="10"/>
        <item x="47"/>
        <item x="197"/>
        <item x="130"/>
        <item x="18"/>
        <item x="131"/>
        <item x="88"/>
        <item x="58"/>
        <item x="133"/>
        <item x="99"/>
        <item x="13"/>
        <item x="67"/>
        <item x="178"/>
        <item x="190"/>
        <item x="113"/>
        <item x="44"/>
        <item x="96"/>
        <item x="198"/>
        <item x="196"/>
        <item x="151"/>
        <item x="144"/>
        <item x="118"/>
        <item x="0"/>
        <item x="138"/>
        <item x="22"/>
        <item x="81"/>
        <item x="191"/>
        <item x="167"/>
        <item x="180"/>
        <item x="2"/>
        <item x="199"/>
        <item x="169"/>
        <item x="147"/>
        <item x="55"/>
        <item x="4"/>
        <item x="29"/>
        <item x="103"/>
        <item x="123"/>
        <item x="124"/>
        <item x="90"/>
        <item x="188"/>
        <item x="69"/>
        <item x="183"/>
        <item x="7"/>
        <item x="146"/>
        <item x="60"/>
        <item x="62"/>
        <item x="84"/>
        <item x="8"/>
        <item x="149"/>
        <item x="114"/>
        <item x="92"/>
        <item x="121"/>
        <item x="176"/>
        <item x="17"/>
        <item x="145"/>
        <item x="137"/>
        <item x="1"/>
        <item x="161"/>
        <item x="70"/>
        <item x="174"/>
        <item x="194"/>
        <item x="23"/>
        <item x="102"/>
        <item x="136"/>
        <item x="19"/>
        <item x="126"/>
        <item x="95"/>
        <item x="75"/>
        <item x="158"/>
        <item x="91"/>
        <item x="56"/>
        <item x="148"/>
        <item x="28"/>
        <item x="49"/>
        <item x="79"/>
        <item x="43"/>
        <item x="100"/>
        <item x="112"/>
        <item x="85"/>
        <item x="14"/>
        <item x="171"/>
        <item x="12"/>
        <item x="142"/>
        <item x="181"/>
        <item x="159"/>
        <item x="189"/>
        <item x="64"/>
        <item x="83"/>
        <item x="128"/>
        <item x="48"/>
        <item x="3"/>
        <item x="184"/>
        <item x="98"/>
        <item x="172"/>
        <item x="50"/>
        <item x="132"/>
        <item x="38"/>
        <item x="78"/>
        <item x="5"/>
        <item x="74"/>
        <item x="185"/>
        <item x="51"/>
        <item x="164"/>
        <item x="32"/>
        <item x="36"/>
        <item x="110"/>
        <item x="45"/>
        <item x="153"/>
        <item x="127"/>
        <item x="105"/>
        <item x="150"/>
        <item x="192"/>
        <item x="117"/>
        <item x="20"/>
        <item x="42"/>
        <item x="179"/>
        <item x="39"/>
        <item x="15"/>
        <item x="86"/>
        <item x="52"/>
        <item x="109"/>
        <item x="63"/>
        <item x="139"/>
        <item x="165"/>
        <item x="175"/>
        <item x="177"/>
        <item x="129"/>
        <item x="72"/>
        <item x="155"/>
        <item x="40"/>
        <item x="107"/>
        <item x="57"/>
        <item x="186"/>
        <item x="37"/>
        <item x="163"/>
        <item x="16"/>
        <item x="61"/>
        <item x="25"/>
        <item x="119"/>
        <item x="77"/>
        <item x="116"/>
        <item x="80"/>
        <item x="166"/>
        <item x="182"/>
        <item x="157"/>
        <item x="71"/>
        <item x="162"/>
        <item x="168"/>
        <item x="195"/>
        <item x="6"/>
        <item x="66"/>
        <item x="11"/>
        <item x="89"/>
        <item x="68"/>
        <item x="33"/>
        <item x="59"/>
        <item x="152"/>
        <item x="82"/>
        <item x="170"/>
        <item x="65"/>
        <item x="31"/>
        <item x="21"/>
        <item x="154"/>
        <item x="141"/>
        <item x="156"/>
        <item x="101"/>
        <item x="140"/>
        <item x="73"/>
        <item x="143"/>
        <item x="76"/>
        <item t="default"/>
      </items>
    </pivotField>
    <pivotField axis="axisPage" multipleItemSelectionAllowed="1" showAll="0">
      <items count="59">
        <item x="54"/>
        <item x="17"/>
        <item h="1" x="15"/>
        <item h="1" x="39"/>
        <item h="1" x="55"/>
        <item h="1" x="46"/>
        <item h="1" x="36"/>
        <item h="1" x="5"/>
        <item h="1" x="37"/>
        <item h="1" x="49"/>
        <item h="1" x="10"/>
        <item h="1" x="23"/>
        <item h="1" x="56"/>
        <item h="1" x="40"/>
        <item h="1" x="3"/>
        <item h="1" x="30"/>
        <item h="1" x="45"/>
        <item h="1" x="38"/>
        <item h="1" x="8"/>
        <item h="1" x="43"/>
        <item h="1" x="6"/>
        <item h="1" x="16"/>
        <item h="1" x="9"/>
        <item h="1" x="11"/>
        <item h="1" x="24"/>
        <item h="1" x="42"/>
        <item h="1" x="26"/>
        <item h="1" x="29"/>
        <item h="1" x="2"/>
        <item h="1" x="19"/>
        <item h="1" x="50"/>
        <item h="1" x="57"/>
        <item h="1" x="22"/>
        <item h="1" x="48"/>
        <item h="1" x="44"/>
        <item h="1" x="13"/>
        <item h="1" x="35"/>
        <item h="1" x="20"/>
        <item h="1" x="0"/>
        <item h="1" x="14"/>
        <item h="1" x="53"/>
        <item h="1" x="28"/>
        <item h="1" x="4"/>
        <item h="1" x="18"/>
        <item h="1" x="52"/>
        <item h="1" x="31"/>
        <item h="1" x="51"/>
        <item h="1" x="25"/>
        <item h="1" x="41"/>
        <item h="1" x="32"/>
        <item h="1" x="1"/>
        <item h="1" x="12"/>
        <item h="1" x="47"/>
        <item h="1" x="33"/>
        <item h="1" x="34"/>
        <item h="1" x="7"/>
        <item h="1" x="27"/>
        <item h="1" x="21"/>
        <item t="default"/>
      </items>
    </pivotField>
    <pivotField showAll="0">
      <items count="3">
        <item x="1"/>
        <item x="0"/>
        <item t="default"/>
      </items>
    </pivotField>
    <pivotField showAll="0"/>
    <pivotField numFmtId="14" showAll="0">
      <items count="125">
        <item x="92"/>
        <item x="110"/>
        <item x="74"/>
        <item x="67"/>
        <item x="2"/>
        <item x="41"/>
        <item x="120"/>
        <item x="123"/>
        <item x="25"/>
        <item x="27"/>
        <item x="107"/>
        <item x="111"/>
        <item x="30"/>
        <item x="36"/>
        <item x="105"/>
        <item x="15"/>
        <item x="28"/>
        <item x="50"/>
        <item x="73"/>
        <item x="42"/>
        <item x="75"/>
        <item x="29"/>
        <item x="122"/>
        <item x="118"/>
        <item x="21"/>
        <item x="24"/>
        <item x="55"/>
        <item x="115"/>
        <item x="58"/>
        <item x="99"/>
        <item x="81"/>
        <item x="117"/>
        <item x="101"/>
        <item x="106"/>
        <item x="44"/>
        <item x="53"/>
        <item x="109"/>
        <item x="96"/>
        <item x="54"/>
        <item x="9"/>
        <item x="114"/>
        <item x="90"/>
        <item x="31"/>
        <item x="79"/>
        <item x="49"/>
        <item x="83"/>
        <item x="80"/>
        <item x="65"/>
        <item x="11"/>
        <item x="40"/>
        <item x="103"/>
        <item x="0"/>
        <item x="119"/>
        <item x="45"/>
        <item x="32"/>
        <item x="34"/>
        <item x="1"/>
        <item x="86"/>
        <item x="94"/>
        <item x="3"/>
        <item x="22"/>
        <item x="20"/>
        <item x="37"/>
        <item x="17"/>
        <item x="112"/>
        <item x="7"/>
        <item x="85"/>
        <item x="56"/>
        <item x="46"/>
        <item x="33"/>
        <item x="26"/>
        <item x="10"/>
        <item x="6"/>
        <item x="48"/>
        <item x="104"/>
        <item x="121"/>
        <item x="13"/>
        <item x="61"/>
        <item x="52"/>
        <item x="87"/>
        <item x="91"/>
        <item x="43"/>
        <item x="93"/>
        <item x="82"/>
        <item x="62"/>
        <item x="98"/>
        <item x="8"/>
        <item x="78"/>
        <item x="71"/>
        <item x="16"/>
        <item x="38"/>
        <item x="35"/>
        <item x="60"/>
        <item x="108"/>
        <item x="47"/>
        <item x="66"/>
        <item x="64"/>
        <item x="39"/>
        <item x="89"/>
        <item x="102"/>
        <item x="23"/>
        <item x="18"/>
        <item x="95"/>
        <item x="4"/>
        <item x="116"/>
        <item x="113"/>
        <item x="12"/>
        <item x="84"/>
        <item x="100"/>
        <item x="97"/>
        <item x="5"/>
        <item x="63"/>
        <item x="14"/>
        <item x="76"/>
        <item x="77"/>
        <item x="59"/>
        <item x="69"/>
        <item x="70"/>
        <item x="88"/>
        <item x="68"/>
        <item x="19"/>
        <item x="72"/>
        <item x="51"/>
        <item x="57"/>
        <item t="default"/>
      </items>
    </pivotField>
    <pivotField numFmtId="14" showAll="0"/>
    <pivotField showAll="0"/>
    <pivotField dataField="1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9">
    <i>
      <x v="4"/>
    </i>
    <i>
      <x v="22"/>
    </i>
    <i>
      <x v="138"/>
    </i>
    <i>
      <x v="176"/>
    </i>
    <i>
      <x v="177"/>
    </i>
    <i>
      <x v="180"/>
    </i>
    <i>
      <x v="187"/>
    </i>
    <i>
      <x v="191"/>
    </i>
    <i t="grand">
      <x/>
    </i>
  </rowItems>
  <colItems count="1">
    <i/>
  </colItems>
  <pageFields count="1">
    <pageField fld="2" hier="-1"/>
  </pageFields>
  <dataFields count="1">
    <dataField name="Sum of TreatmentCost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F6C1-70AC-448D-8D0F-37F8528D7D2F}">
  <dimension ref="A1:B11"/>
  <sheetViews>
    <sheetView tabSelected="1" workbookViewId="0">
      <selection sqref="A1:B11"/>
    </sheetView>
  </sheetViews>
  <sheetFormatPr defaultRowHeight="14.5" x14ac:dyDescent="0.35"/>
  <cols>
    <col min="2" max="2" width="13.63281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95E71-D1E0-442F-8B49-B7CCDBA907FE}">
  <dimension ref="A1:O201"/>
  <sheetViews>
    <sheetView topLeftCell="A103" workbookViewId="0">
      <selection activeCell="B2" sqref="B2"/>
    </sheetView>
  </sheetViews>
  <sheetFormatPr defaultRowHeight="14.5" x14ac:dyDescent="0.35"/>
  <cols>
    <col min="2" max="2" width="19.7265625" bestFit="1" customWidth="1"/>
    <col min="5" max="5" width="10.453125" bestFit="1" customWidth="1"/>
    <col min="6" max="6" width="13.1796875" bestFit="1" customWidth="1"/>
    <col min="7" max="7" width="13" bestFit="1" customWidth="1"/>
    <col min="9" max="9" width="13.08984375" bestFit="1" customWidth="1"/>
    <col min="11" max="11" width="13.6328125" bestFit="1" customWidth="1"/>
    <col min="12" max="12" width="13.26953125" bestFit="1" customWidth="1"/>
    <col min="13" max="13" width="12" bestFit="1" customWidth="1"/>
    <col min="14" max="14" width="13" bestFit="1" customWidth="1"/>
    <col min="15" max="15" width="8.81640625" customWidth="1"/>
  </cols>
  <sheetData>
    <row r="1" spans="1:15" x14ac:dyDescent="0.35">
      <c r="A1" t="s">
        <v>12</v>
      </c>
      <c r="B1" t="s">
        <v>13</v>
      </c>
      <c r="C1" t="s">
        <v>14</v>
      </c>
      <c r="D1" t="s">
        <v>15</v>
      </c>
      <c r="E1" t="s">
        <v>0</v>
      </c>
      <c r="F1" t="s">
        <v>16</v>
      </c>
      <c r="G1" t="s">
        <v>17</v>
      </c>
      <c r="H1" t="s">
        <v>18</v>
      </c>
      <c r="I1" t="s">
        <v>19</v>
      </c>
      <c r="K1" s="4" t="s">
        <v>1</v>
      </c>
      <c r="L1" s="3" t="s">
        <v>222</v>
      </c>
      <c r="M1" s="3" t="s">
        <v>242</v>
      </c>
      <c r="N1" s="3" t="s">
        <v>243</v>
      </c>
      <c r="O1" s="3" t="s">
        <v>244</v>
      </c>
    </row>
    <row r="2" spans="1:15" x14ac:dyDescent="0.35">
      <c r="A2">
        <v>1</v>
      </c>
      <c r="B2" t="s">
        <v>20</v>
      </c>
      <c r="C2">
        <v>68</v>
      </c>
      <c r="D2" t="s">
        <v>21</v>
      </c>
      <c r="E2">
        <v>2</v>
      </c>
      <c r="F2" s="1">
        <v>45738</v>
      </c>
      <c r="G2" s="1">
        <v>45751</v>
      </c>
      <c r="H2">
        <v>1</v>
      </c>
      <c r="I2">
        <v>4443</v>
      </c>
      <c r="K2" t="str">
        <f>VLOOKUP(E2,diagnosis!$A$1:$B$11,2,FALSE)</f>
        <v>Diabetes</v>
      </c>
      <c r="L2" t="str">
        <f>VLOOKUP(H2,outcomes!$A$1:$B$4,2,FALSE)</f>
        <v>Recovered</v>
      </c>
      <c r="M2">
        <f>DATEDIF(F2,G2,"d")</f>
        <v>13</v>
      </c>
      <c r="N2" t="str">
        <f>VLOOKUP(A2,labs!$A$2:$E$201,3,FALSE)</f>
        <v>Blood Pressure</v>
      </c>
      <c r="O2" t="str">
        <f>IF(OR(C2&gt;65,H2&lt;&gt;1),"High Risk","Low Risk")</f>
        <v>High Risk</v>
      </c>
    </row>
    <row r="3" spans="1:15" x14ac:dyDescent="0.35">
      <c r="A3">
        <v>2</v>
      </c>
      <c r="B3" t="s">
        <v>22</v>
      </c>
      <c r="C3">
        <v>81</v>
      </c>
      <c r="D3" t="s">
        <v>21</v>
      </c>
      <c r="E3">
        <v>2</v>
      </c>
      <c r="F3" s="1">
        <v>45747</v>
      </c>
      <c r="G3" s="1">
        <v>45749</v>
      </c>
      <c r="H3">
        <v>2</v>
      </c>
      <c r="I3">
        <v>4265</v>
      </c>
      <c r="K3" t="str">
        <f>VLOOKUP(E3,diagnosis!$A$1:$B$11,2,FALSE)</f>
        <v>Diabetes</v>
      </c>
      <c r="L3" t="str">
        <f>VLOOKUP(H3,outcomes!$A$1:$B$4,2,FALSE)</f>
        <v>Complicated</v>
      </c>
      <c r="M3">
        <f t="shared" ref="M3:M66" si="0">DATEDIF(F3,G3,"d")</f>
        <v>2</v>
      </c>
      <c r="N3" t="str">
        <f>VLOOKUP(A3,labs!$A$2:$E$201,3,FALSE)</f>
        <v>Cholesterol</v>
      </c>
      <c r="O3" t="str">
        <f t="shared" ref="O3:O15" si="1">IF(OR(C3&gt;65,H3&lt;&gt;1),"High Risk","Low Risk")</f>
        <v>High Risk</v>
      </c>
    </row>
    <row r="4" spans="1:15" x14ac:dyDescent="0.35">
      <c r="A4">
        <v>3</v>
      </c>
      <c r="B4" t="s">
        <v>23</v>
      </c>
      <c r="C4">
        <v>58</v>
      </c>
      <c r="D4" t="s">
        <v>21</v>
      </c>
      <c r="E4">
        <v>6</v>
      </c>
      <c r="F4" s="1">
        <v>45665</v>
      </c>
      <c r="G4" s="1">
        <v>45729</v>
      </c>
      <c r="H4">
        <v>1</v>
      </c>
      <c r="I4">
        <v>4188</v>
      </c>
      <c r="K4" t="str">
        <f>VLOOKUP(E4,diagnosis!$A$1:$B$11,2,FALSE)</f>
        <v>COPD</v>
      </c>
      <c r="L4" t="str">
        <f>VLOOKUP(H4,outcomes!$A$1:$B$4,2,FALSE)</f>
        <v>Recovered</v>
      </c>
      <c r="M4">
        <f t="shared" si="0"/>
        <v>64</v>
      </c>
      <c r="N4" t="str">
        <f>VLOOKUP(A4,labs!$A$2:$E$201,3,FALSE)</f>
        <v>Blood Pressure</v>
      </c>
      <c r="O4" t="str">
        <f t="shared" si="1"/>
        <v>Low Risk</v>
      </c>
    </row>
    <row r="5" spans="1:15" x14ac:dyDescent="0.35">
      <c r="A5">
        <v>4</v>
      </c>
      <c r="B5" t="s">
        <v>24</v>
      </c>
      <c r="C5">
        <v>44</v>
      </c>
      <c r="D5" t="s">
        <v>25</v>
      </c>
      <c r="E5">
        <v>3</v>
      </c>
      <c r="F5" s="1">
        <v>45750</v>
      </c>
      <c r="G5" s="1">
        <v>45752</v>
      </c>
      <c r="H5">
        <v>1</v>
      </c>
      <c r="I5">
        <v>9783</v>
      </c>
      <c r="K5" t="str">
        <f>VLOOKUP(E5,diagnosis!$A$1:$B$11,2,FALSE)</f>
        <v>Heart Disease</v>
      </c>
      <c r="L5" t="str">
        <f>VLOOKUP(H5,outcomes!$A$1:$B$4,2,FALSE)</f>
        <v>Recovered</v>
      </c>
      <c r="M5">
        <f t="shared" si="0"/>
        <v>2</v>
      </c>
      <c r="N5" t="str">
        <f>VLOOKUP(A5,labs!$A$2:$E$201,3,FALSE)</f>
        <v>Cholesterol</v>
      </c>
      <c r="O5" t="str">
        <f t="shared" si="1"/>
        <v>Low Risk</v>
      </c>
    </row>
    <row r="6" spans="1:15" x14ac:dyDescent="0.35">
      <c r="A6">
        <v>5</v>
      </c>
      <c r="B6" t="s">
        <v>26</v>
      </c>
      <c r="C6">
        <v>72</v>
      </c>
      <c r="D6" t="s">
        <v>25</v>
      </c>
      <c r="E6">
        <v>9</v>
      </c>
      <c r="F6" s="1">
        <v>45811</v>
      </c>
      <c r="G6" s="1">
        <v>45812</v>
      </c>
      <c r="H6">
        <v>1</v>
      </c>
      <c r="I6">
        <v>5005</v>
      </c>
      <c r="K6" t="str">
        <f>VLOOKUP(E6,diagnosis!$A$1:$B$11,2,FALSE)</f>
        <v>Kidney Disease</v>
      </c>
      <c r="L6" t="str">
        <f>VLOOKUP(H6,outcomes!$A$1:$B$4,2,FALSE)</f>
        <v>Recovered</v>
      </c>
      <c r="M6">
        <f t="shared" si="0"/>
        <v>1</v>
      </c>
      <c r="N6" t="str">
        <f>VLOOKUP(A6,labs!$A$2:$E$201,3,FALSE)</f>
        <v>Blood Sugar</v>
      </c>
      <c r="O6" t="str">
        <f t="shared" si="1"/>
        <v>High Risk</v>
      </c>
    </row>
    <row r="7" spans="1:15" x14ac:dyDescent="0.35">
      <c r="A7">
        <v>6</v>
      </c>
      <c r="B7" t="s">
        <v>27</v>
      </c>
      <c r="C7">
        <v>37</v>
      </c>
      <c r="D7" t="s">
        <v>25</v>
      </c>
      <c r="E7">
        <v>4</v>
      </c>
      <c r="F7" s="1">
        <v>45747</v>
      </c>
      <c r="G7" s="1">
        <v>45752</v>
      </c>
      <c r="H7">
        <v>1</v>
      </c>
      <c r="I7">
        <v>5281</v>
      </c>
      <c r="K7" t="str">
        <f>VLOOKUP(E7,diagnosis!$A$1:$B$11,2,FALSE)</f>
        <v>Asthma</v>
      </c>
      <c r="L7" t="str">
        <f>VLOOKUP(H7,outcomes!$A$1:$B$4,2,FALSE)</f>
        <v>Recovered</v>
      </c>
      <c r="M7">
        <f t="shared" si="0"/>
        <v>5</v>
      </c>
      <c r="N7" t="str">
        <f>VLOOKUP(A7,labs!$A$2:$E$201,3,FALSE)</f>
        <v>Creatinine</v>
      </c>
      <c r="O7" t="str">
        <f t="shared" si="1"/>
        <v>Low Risk</v>
      </c>
    </row>
    <row r="8" spans="1:15" x14ac:dyDescent="0.35">
      <c r="A8">
        <v>7</v>
      </c>
      <c r="B8" t="s">
        <v>28</v>
      </c>
      <c r="C8">
        <v>50</v>
      </c>
      <c r="D8" t="s">
        <v>25</v>
      </c>
      <c r="E8">
        <v>1</v>
      </c>
      <c r="F8" s="1">
        <v>45819</v>
      </c>
      <c r="G8" s="1">
        <v>45843</v>
      </c>
      <c r="H8">
        <v>2</v>
      </c>
      <c r="I8">
        <v>2984</v>
      </c>
      <c r="K8" t="str">
        <f>VLOOKUP(E8,diagnosis!$A$1:$B$11,2,FALSE)</f>
        <v>Hypertension</v>
      </c>
      <c r="L8" t="str">
        <f>VLOOKUP(H8,outcomes!$A$1:$B$4,2,FALSE)</f>
        <v>Complicated</v>
      </c>
      <c r="M8">
        <f t="shared" si="0"/>
        <v>24</v>
      </c>
      <c r="N8" t="str">
        <f>VLOOKUP(A8,labs!$A$2:$E$201,3,FALSE)</f>
        <v>Blood Pressure</v>
      </c>
      <c r="O8" t="str">
        <f t="shared" si="1"/>
        <v>High Risk</v>
      </c>
    </row>
    <row r="9" spans="1:15" x14ac:dyDescent="0.35">
      <c r="A9">
        <v>8</v>
      </c>
      <c r="B9" t="s">
        <v>29</v>
      </c>
      <c r="C9">
        <v>68</v>
      </c>
      <c r="D9" t="s">
        <v>21</v>
      </c>
      <c r="E9">
        <v>4</v>
      </c>
      <c r="F9" s="1">
        <v>45772</v>
      </c>
      <c r="G9" s="1">
        <v>45827</v>
      </c>
      <c r="H9">
        <v>1</v>
      </c>
      <c r="I9">
        <v>9136</v>
      </c>
      <c r="K9" t="str">
        <f>VLOOKUP(E9,diagnosis!$A$1:$B$11,2,FALSE)</f>
        <v>Asthma</v>
      </c>
      <c r="L9" t="str">
        <f>VLOOKUP(H9,outcomes!$A$1:$B$4,2,FALSE)</f>
        <v>Recovered</v>
      </c>
      <c r="M9">
        <f t="shared" si="0"/>
        <v>55</v>
      </c>
      <c r="N9" t="str">
        <f>VLOOKUP(A9,labs!$A$2:$E$201,3,FALSE)</f>
        <v>Hemoglobin</v>
      </c>
      <c r="O9" t="str">
        <f t="shared" si="1"/>
        <v>High Risk</v>
      </c>
    </row>
    <row r="10" spans="1:15" x14ac:dyDescent="0.35">
      <c r="A10">
        <v>9</v>
      </c>
      <c r="B10" t="s">
        <v>30</v>
      </c>
      <c r="C10">
        <v>87</v>
      </c>
      <c r="D10" t="s">
        <v>25</v>
      </c>
      <c r="E10">
        <v>1</v>
      </c>
      <c r="F10" s="1">
        <v>45762</v>
      </c>
      <c r="G10" s="1">
        <v>45764</v>
      </c>
      <c r="H10">
        <v>2</v>
      </c>
      <c r="I10">
        <v>9790</v>
      </c>
      <c r="K10" t="str">
        <f>VLOOKUP(E10,diagnosis!$A$1:$B$11,2,FALSE)</f>
        <v>Hypertension</v>
      </c>
      <c r="L10" t="str">
        <f>VLOOKUP(H10,outcomes!$A$1:$B$4,2,FALSE)</f>
        <v>Complicated</v>
      </c>
      <c r="M10">
        <f t="shared" si="0"/>
        <v>2</v>
      </c>
      <c r="N10" t="str">
        <f>VLOOKUP(A10,labs!$A$2:$E$201,3,FALSE)</f>
        <v>Hemoglobin</v>
      </c>
      <c r="O10" t="str">
        <f t="shared" si="1"/>
        <v>High Risk</v>
      </c>
    </row>
    <row r="11" spans="1:15" x14ac:dyDescent="0.35">
      <c r="A11">
        <v>10</v>
      </c>
      <c r="B11" t="s">
        <v>31</v>
      </c>
      <c r="C11">
        <v>48</v>
      </c>
      <c r="D11" t="s">
        <v>21</v>
      </c>
      <c r="E11">
        <v>5</v>
      </c>
      <c r="F11" s="1">
        <v>45792</v>
      </c>
      <c r="G11" s="1">
        <v>45796</v>
      </c>
      <c r="H11">
        <v>2</v>
      </c>
      <c r="I11">
        <v>3639</v>
      </c>
      <c r="K11" t="str">
        <f>VLOOKUP(E11,diagnosis!$A$1:$B$11,2,FALSE)</f>
        <v>Stroke</v>
      </c>
      <c r="L11" t="str">
        <f>VLOOKUP(H11,outcomes!$A$1:$B$4,2,FALSE)</f>
        <v>Complicated</v>
      </c>
      <c r="M11">
        <f t="shared" si="0"/>
        <v>4</v>
      </c>
      <c r="N11" t="str">
        <f>VLOOKUP(A11,labs!$A$2:$E$201,3,FALSE)</f>
        <v>Vitamin D</v>
      </c>
      <c r="O11" t="str">
        <f t="shared" si="1"/>
        <v>High Risk</v>
      </c>
    </row>
    <row r="12" spans="1:15" x14ac:dyDescent="0.35">
      <c r="A12">
        <v>11</v>
      </c>
      <c r="B12" t="s">
        <v>32</v>
      </c>
      <c r="C12">
        <v>52</v>
      </c>
      <c r="D12" t="s">
        <v>21</v>
      </c>
      <c r="E12">
        <v>4</v>
      </c>
      <c r="F12" s="1">
        <v>45715</v>
      </c>
      <c r="G12" s="1">
        <v>45765</v>
      </c>
      <c r="H12">
        <v>3</v>
      </c>
      <c r="I12">
        <v>2827</v>
      </c>
      <c r="K12" t="str">
        <f>VLOOKUP(E12,diagnosis!$A$1:$B$11,2,FALSE)</f>
        <v>Asthma</v>
      </c>
      <c r="L12" t="str">
        <f>VLOOKUP(H12,outcomes!$A$1:$B$4,2,FALSE)</f>
        <v>Deceased</v>
      </c>
      <c r="M12">
        <f t="shared" si="0"/>
        <v>50</v>
      </c>
      <c r="N12" t="str">
        <f>VLOOKUP(A12,labs!$A$2:$E$201,3,FALSE)</f>
        <v>Cholesterol</v>
      </c>
      <c r="O12" t="str">
        <f t="shared" si="1"/>
        <v>High Risk</v>
      </c>
    </row>
    <row r="13" spans="1:15" x14ac:dyDescent="0.35">
      <c r="A13">
        <v>12</v>
      </c>
      <c r="B13" t="s">
        <v>33</v>
      </c>
      <c r="C13">
        <v>40</v>
      </c>
      <c r="D13" t="s">
        <v>25</v>
      </c>
      <c r="E13">
        <v>8</v>
      </c>
      <c r="F13" s="1">
        <v>45771</v>
      </c>
      <c r="G13" s="1">
        <v>45795</v>
      </c>
      <c r="H13">
        <v>2</v>
      </c>
      <c r="I13">
        <v>4730</v>
      </c>
      <c r="K13" t="str">
        <f>VLOOKUP(E13,diagnosis!$A$1:$B$11,2,FALSE)</f>
        <v>Arthritis</v>
      </c>
      <c r="L13" t="str">
        <f>VLOOKUP(H13,outcomes!$A$1:$B$4,2,FALSE)</f>
        <v>Complicated</v>
      </c>
      <c r="M13">
        <f t="shared" si="0"/>
        <v>24</v>
      </c>
      <c r="N13" t="str">
        <f>VLOOKUP(A13,labs!$A$2:$E$201,3,FALSE)</f>
        <v>Blood Pressure</v>
      </c>
      <c r="O13" t="str">
        <f t="shared" si="1"/>
        <v>High Risk</v>
      </c>
    </row>
    <row r="14" spans="1:15" x14ac:dyDescent="0.35">
      <c r="A14">
        <v>13</v>
      </c>
      <c r="B14" t="s">
        <v>34</v>
      </c>
      <c r="C14">
        <v>40</v>
      </c>
      <c r="D14" t="s">
        <v>25</v>
      </c>
      <c r="E14">
        <v>8</v>
      </c>
      <c r="F14" s="1">
        <v>45732</v>
      </c>
      <c r="G14" s="1">
        <v>45815</v>
      </c>
      <c r="H14">
        <v>3</v>
      </c>
      <c r="I14">
        <v>5531</v>
      </c>
      <c r="K14" t="str">
        <f>VLOOKUP(E14,diagnosis!$A$1:$B$11,2,FALSE)</f>
        <v>Arthritis</v>
      </c>
      <c r="L14" t="str">
        <f>VLOOKUP(H14,outcomes!$A$1:$B$4,2,FALSE)</f>
        <v>Deceased</v>
      </c>
      <c r="M14">
        <f t="shared" si="0"/>
        <v>83</v>
      </c>
      <c r="N14" t="str">
        <f>VLOOKUP(A14,labs!$A$2:$E$201,3,FALSE)</f>
        <v>Vitamin D</v>
      </c>
      <c r="O14" t="str">
        <f t="shared" si="1"/>
        <v>High Risk</v>
      </c>
    </row>
    <row r="15" spans="1:15" x14ac:dyDescent="0.35">
      <c r="A15">
        <v>14</v>
      </c>
      <c r="B15" t="s">
        <v>35</v>
      </c>
      <c r="C15">
        <v>53</v>
      </c>
      <c r="D15" t="s">
        <v>25</v>
      </c>
      <c r="E15">
        <v>7</v>
      </c>
      <c r="F15" s="1">
        <v>45814</v>
      </c>
      <c r="G15" s="1">
        <v>45818</v>
      </c>
      <c r="H15">
        <v>2</v>
      </c>
      <c r="I15">
        <v>9147</v>
      </c>
      <c r="K15" t="str">
        <f>VLOOKUP(E15,diagnosis!$A$1:$B$11,2,FALSE)</f>
        <v>Cancer</v>
      </c>
      <c r="L15" t="str">
        <f>VLOOKUP(H15,outcomes!$A$1:$B$4,2,FALSE)</f>
        <v>Complicated</v>
      </c>
      <c r="M15">
        <f t="shared" si="0"/>
        <v>4</v>
      </c>
      <c r="N15" t="str">
        <f>VLOOKUP(A15,labs!$A$2:$E$201,3,FALSE)</f>
        <v>Blood Pressure</v>
      </c>
      <c r="O15" t="str">
        <f t="shared" si="1"/>
        <v>High Risk</v>
      </c>
    </row>
    <row r="16" spans="1:15" x14ac:dyDescent="0.35">
      <c r="A16">
        <v>15</v>
      </c>
      <c r="B16" t="s">
        <v>36</v>
      </c>
      <c r="C16">
        <v>82</v>
      </c>
      <c r="D16" t="s">
        <v>25</v>
      </c>
      <c r="E16">
        <v>3</v>
      </c>
      <c r="F16" s="1">
        <v>45777</v>
      </c>
      <c r="G16" s="1">
        <v>45780</v>
      </c>
      <c r="H16">
        <v>2</v>
      </c>
      <c r="I16">
        <v>6451</v>
      </c>
      <c r="K16" t="str">
        <f>VLOOKUP(E16,diagnosis!$A$1:$B$11,2,FALSE)</f>
        <v>Heart Disease</v>
      </c>
      <c r="L16" t="str">
        <f>VLOOKUP(H16,outcomes!$A$1:$B$4,2,FALSE)</f>
        <v>Complicated</v>
      </c>
      <c r="M16">
        <f t="shared" si="0"/>
        <v>3</v>
      </c>
      <c r="N16" t="str">
        <f>VLOOKUP(A16,labs!$A$2:$E$201,3,FALSE)</f>
        <v>Cholesterol</v>
      </c>
    </row>
    <row r="17" spans="1:14" x14ac:dyDescent="0.35">
      <c r="A17">
        <v>16</v>
      </c>
      <c r="B17" t="s">
        <v>37</v>
      </c>
      <c r="C17">
        <v>65</v>
      </c>
      <c r="D17" t="s">
        <v>25</v>
      </c>
      <c r="E17">
        <v>1</v>
      </c>
      <c r="F17" s="1">
        <v>45821</v>
      </c>
      <c r="G17" s="1">
        <v>45823</v>
      </c>
      <c r="H17">
        <v>2</v>
      </c>
      <c r="I17">
        <v>9151</v>
      </c>
      <c r="K17" t="str">
        <f>VLOOKUP(E17,diagnosis!$A$1:$B$11,2,FALSE)</f>
        <v>Hypertension</v>
      </c>
      <c r="L17" t="str">
        <f>VLOOKUP(H17,outcomes!$A$1:$B$4,2,FALSE)</f>
        <v>Complicated</v>
      </c>
      <c r="M17">
        <f t="shared" si="0"/>
        <v>2</v>
      </c>
      <c r="N17" t="str">
        <f>VLOOKUP(A17,labs!$A$2:$E$201,3,FALSE)</f>
        <v>Hemoglobin</v>
      </c>
    </row>
    <row r="18" spans="1:14" x14ac:dyDescent="0.35">
      <c r="A18">
        <v>17</v>
      </c>
      <c r="B18" t="s">
        <v>38</v>
      </c>
      <c r="C18">
        <v>69</v>
      </c>
      <c r="D18" t="s">
        <v>25</v>
      </c>
      <c r="E18">
        <v>1</v>
      </c>
      <c r="F18" s="1">
        <v>45678</v>
      </c>
      <c r="G18" s="1">
        <v>45799</v>
      </c>
      <c r="H18">
        <v>3</v>
      </c>
      <c r="I18">
        <v>7443</v>
      </c>
      <c r="K18" t="str">
        <f>VLOOKUP(E18,diagnosis!$A$1:$B$11,2,FALSE)</f>
        <v>Hypertension</v>
      </c>
      <c r="M18">
        <f t="shared" si="0"/>
        <v>121</v>
      </c>
      <c r="N18" t="str">
        <f>VLOOKUP(A18,labs!$A$2:$E$201,3,FALSE)</f>
        <v>Blood Sugar</v>
      </c>
    </row>
    <row r="19" spans="1:14" x14ac:dyDescent="0.35">
      <c r="A19">
        <v>18</v>
      </c>
      <c r="B19" t="s">
        <v>39</v>
      </c>
      <c r="C19">
        <v>53</v>
      </c>
      <c r="D19" t="s">
        <v>25</v>
      </c>
      <c r="E19">
        <v>3</v>
      </c>
      <c r="F19" s="1">
        <v>45821</v>
      </c>
      <c r="G19" s="1">
        <v>45830</v>
      </c>
      <c r="H19">
        <v>3</v>
      </c>
      <c r="I19">
        <v>9300</v>
      </c>
      <c r="K19" t="str">
        <f>VLOOKUP(E19,diagnosis!$A$1:$B$11,2,FALSE)</f>
        <v>Heart Disease</v>
      </c>
      <c r="M19">
        <f t="shared" si="0"/>
        <v>9</v>
      </c>
      <c r="N19" t="str">
        <f>VLOOKUP(A19,labs!$A$2:$E$201,3,FALSE)</f>
        <v>Hemoglobin</v>
      </c>
    </row>
    <row r="20" spans="1:14" x14ac:dyDescent="0.35">
      <c r="A20">
        <v>19</v>
      </c>
      <c r="B20" t="s">
        <v>40</v>
      </c>
      <c r="C20">
        <v>32</v>
      </c>
      <c r="D20" t="s">
        <v>25</v>
      </c>
      <c r="E20">
        <v>6</v>
      </c>
      <c r="F20" s="1">
        <v>45795</v>
      </c>
      <c r="G20" s="1">
        <v>45797</v>
      </c>
      <c r="H20">
        <v>1</v>
      </c>
      <c r="I20">
        <v>4935</v>
      </c>
      <c r="K20" t="str">
        <f>VLOOKUP(E20,diagnosis!$A$1:$B$11,2,FALSE)</f>
        <v>COPD</v>
      </c>
      <c r="M20">
        <f t="shared" si="0"/>
        <v>2</v>
      </c>
      <c r="N20" t="str">
        <f>VLOOKUP(A20,labs!$A$2:$E$201,3,FALSE)</f>
        <v>Vitamin D</v>
      </c>
    </row>
    <row r="21" spans="1:14" x14ac:dyDescent="0.35">
      <c r="A21">
        <v>20</v>
      </c>
      <c r="B21" t="s">
        <v>41</v>
      </c>
      <c r="C21">
        <v>51</v>
      </c>
      <c r="D21" t="s">
        <v>21</v>
      </c>
      <c r="E21">
        <v>7</v>
      </c>
      <c r="F21" s="1">
        <v>45758</v>
      </c>
      <c r="G21" s="1">
        <v>45847</v>
      </c>
      <c r="H21">
        <v>3</v>
      </c>
      <c r="I21">
        <v>5876</v>
      </c>
      <c r="K21" t="str">
        <f>VLOOKUP(E21,diagnosis!$A$1:$B$11,2,FALSE)</f>
        <v>Cancer</v>
      </c>
      <c r="M21">
        <f t="shared" si="0"/>
        <v>89</v>
      </c>
      <c r="N21" t="str">
        <f>VLOOKUP(A21,labs!$A$2:$E$201,3,FALSE)</f>
        <v>Creatinine</v>
      </c>
    </row>
    <row r="22" spans="1:14" x14ac:dyDescent="0.35">
      <c r="A22">
        <v>21</v>
      </c>
      <c r="B22" t="s">
        <v>42</v>
      </c>
      <c r="C22">
        <v>82</v>
      </c>
      <c r="D22" t="s">
        <v>25</v>
      </c>
      <c r="E22">
        <v>6</v>
      </c>
      <c r="F22" s="1">
        <v>45809</v>
      </c>
      <c r="G22" s="1">
        <v>45819</v>
      </c>
      <c r="H22">
        <v>3</v>
      </c>
      <c r="I22">
        <v>7959</v>
      </c>
      <c r="K22" t="str">
        <f>VLOOKUP(E22,diagnosis!$A$1:$B$11,2,FALSE)</f>
        <v>COPD</v>
      </c>
      <c r="M22">
        <f t="shared" si="0"/>
        <v>10</v>
      </c>
      <c r="N22" t="str">
        <f>VLOOKUP(A22,labs!$A$2:$E$201,3,FALSE)</f>
        <v>Blood Sugar</v>
      </c>
    </row>
    <row r="23" spans="1:14" x14ac:dyDescent="0.35">
      <c r="A23">
        <v>22</v>
      </c>
      <c r="B23" t="s">
        <v>43</v>
      </c>
      <c r="C23">
        <v>31</v>
      </c>
      <c r="D23" t="s">
        <v>25</v>
      </c>
      <c r="E23">
        <v>6</v>
      </c>
      <c r="F23" s="1">
        <v>45834</v>
      </c>
      <c r="G23" s="1">
        <v>45841</v>
      </c>
      <c r="H23">
        <v>3</v>
      </c>
      <c r="I23">
        <v>2126</v>
      </c>
      <c r="K23" t="str">
        <f>VLOOKUP(E23,diagnosis!$A$1:$B$11,2,FALSE)</f>
        <v>COPD</v>
      </c>
      <c r="M23">
        <f t="shared" si="0"/>
        <v>7</v>
      </c>
      <c r="N23" t="str">
        <f>VLOOKUP(A23,labs!$A$2:$E$201,3,FALSE)</f>
        <v>Vitamin D</v>
      </c>
    </row>
    <row r="24" spans="1:14" x14ac:dyDescent="0.35">
      <c r="A24">
        <v>23</v>
      </c>
      <c r="B24" t="s">
        <v>44</v>
      </c>
      <c r="C24">
        <v>53</v>
      </c>
      <c r="D24" t="s">
        <v>21</v>
      </c>
      <c r="E24">
        <v>6</v>
      </c>
      <c r="F24" s="1">
        <v>45756</v>
      </c>
      <c r="G24" s="1">
        <v>45831</v>
      </c>
      <c r="H24">
        <v>3</v>
      </c>
      <c r="I24">
        <v>5177</v>
      </c>
      <c r="M24">
        <f t="shared" si="0"/>
        <v>75</v>
      </c>
      <c r="N24" t="str">
        <f>VLOOKUP(A24,labs!$A$2:$E$201,3,FALSE)</f>
        <v>Cholesterol</v>
      </c>
    </row>
    <row r="25" spans="1:14" x14ac:dyDescent="0.35">
      <c r="A25">
        <v>24</v>
      </c>
      <c r="B25" t="s">
        <v>45</v>
      </c>
      <c r="C25">
        <v>73</v>
      </c>
      <c r="D25" t="s">
        <v>25</v>
      </c>
      <c r="E25">
        <v>3</v>
      </c>
      <c r="F25" s="1">
        <v>45693</v>
      </c>
      <c r="G25" s="1">
        <v>45749</v>
      </c>
      <c r="H25">
        <v>1</v>
      </c>
      <c r="I25">
        <v>5056</v>
      </c>
      <c r="M25">
        <f t="shared" si="0"/>
        <v>56</v>
      </c>
      <c r="N25" t="str">
        <f>VLOOKUP(A25,labs!$A$2:$E$201,3,FALSE)</f>
        <v>Blood Sugar</v>
      </c>
    </row>
    <row r="26" spans="1:14" x14ac:dyDescent="0.35">
      <c r="A26">
        <v>25</v>
      </c>
      <c r="B26" t="s">
        <v>46</v>
      </c>
      <c r="C26">
        <v>59</v>
      </c>
      <c r="D26" t="s">
        <v>21</v>
      </c>
      <c r="E26">
        <v>6</v>
      </c>
      <c r="F26" s="1">
        <v>45753</v>
      </c>
      <c r="G26" s="1">
        <v>45811</v>
      </c>
      <c r="H26">
        <v>3</v>
      </c>
      <c r="I26">
        <v>2603</v>
      </c>
      <c r="M26">
        <f t="shared" si="0"/>
        <v>58</v>
      </c>
      <c r="N26" t="str">
        <f>VLOOKUP(A26,labs!$A$2:$E$201,3,FALSE)</f>
        <v>Vitamin D</v>
      </c>
    </row>
    <row r="27" spans="1:14" x14ac:dyDescent="0.35">
      <c r="A27">
        <v>26</v>
      </c>
      <c r="B27" t="s">
        <v>47</v>
      </c>
      <c r="C27">
        <v>67</v>
      </c>
      <c r="D27" t="s">
        <v>21</v>
      </c>
      <c r="E27">
        <v>8</v>
      </c>
      <c r="F27" s="1">
        <v>45809</v>
      </c>
      <c r="G27" s="1">
        <v>45810</v>
      </c>
      <c r="H27">
        <v>2</v>
      </c>
      <c r="I27">
        <v>9966</v>
      </c>
      <c r="M27">
        <f t="shared" si="0"/>
        <v>1</v>
      </c>
      <c r="N27" t="str">
        <f>VLOOKUP(A27,labs!$A$2:$E$201,3,FALSE)</f>
        <v>Cholesterol</v>
      </c>
    </row>
    <row r="28" spans="1:14" x14ac:dyDescent="0.35">
      <c r="A28">
        <v>27</v>
      </c>
      <c r="B28" t="s">
        <v>48</v>
      </c>
      <c r="C28">
        <v>31</v>
      </c>
      <c r="D28" t="s">
        <v>25</v>
      </c>
      <c r="E28">
        <v>2</v>
      </c>
      <c r="F28" s="1">
        <v>45808</v>
      </c>
      <c r="G28" s="1">
        <v>45809</v>
      </c>
      <c r="H28">
        <v>2</v>
      </c>
      <c r="I28">
        <v>5449</v>
      </c>
      <c r="M28">
        <f t="shared" si="0"/>
        <v>1</v>
      </c>
      <c r="N28" t="str">
        <f>VLOOKUP(A28,labs!$A$2:$E$201,3,FALSE)</f>
        <v>Hemoglobin</v>
      </c>
    </row>
    <row r="29" spans="1:14" x14ac:dyDescent="0.35">
      <c r="A29">
        <v>28</v>
      </c>
      <c r="B29" t="s">
        <v>49</v>
      </c>
      <c r="C29">
        <v>89</v>
      </c>
      <c r="D29" t="s">
        <v>21</v>
      </c>
      <c r="E29">
        <v>5</v>
      </c>
      <c r="F29" s="1">
        <v>45694</v>
      </c>
      <c r="G29" s="1">
        <v>45776</v>
      </c>
      <c r="H29">
        <v>3</v>
      </c>
      <c r="I29">
        <v>8024</v>
      </c>
      <c r="M29">
        <f t="shared" si="0"/>
        <v>82</v>
      </c>
      <c r="N29" t="str">
        <f>VLOOKUP(A29,labs!$A$2:$E$201,3,FALSE)</f>
        <v>Creatinine</v>
      </c>
    </row>
    <row r="30" spans="1:14" x14ac:dyDescent="0.35">
      <c r="A30">
        <v>29</v>
      </c>
      <c r="B30" t="s">
        <v>50</v>
      </c>
      <c r="C30">
        <v>50</v>
      </c>
      <c r="D30" t="s">
        <v>21</v>
      </c>
      <c r="E30">
        <v>1</v>
      </c>
      <c r="F30" s="1">
        <v>45669</v>
      </c>
      <c r="G30" s="1">
        <v>45671</v>
      </c>
      <c r="H30">
        <v>3</v>
      </c>
      <c r="I30">
        <v>7109</v>
      </c>
      <c r="M30">
        <f t="shared" si="0"/>
        <v>2</v>
      </c>
      <c r="N30" t="str">
        <f>VLOOKUP(A30,labs!$A$2:$E$201,3,FALSE)</f>
        <v>Cholesterol</v>
      </c>
    </row>
    <row r="31" spans="1:14" x14ac:dyDescent="0.35">
      <c r="A31">
        <v>30</v>
      </c>
      <c r="B31" t="s">
        <v>51</v>
      </c>
      <c r="C31">
        <v>62</v>
      </c>
      <c r="D31" t="s">
        <v>21</v>
      </c>
      <c r="E31">
        <v>1</v>
      </c>
      <c r="F31" s="1">
        <v>45770</v>
      </c>
      <c r="G31" s="1">
        <v>45774</v>
      </c>
      <c r="H31">
        <v>2</v>
      </c>
      <c r="I31">
        <v>6146</v>
      </c>
      <c r="M31">
        <f t="shared" si="0"/>
        <v>4</v>
      </c>
      <c r="N31" t="str">
        <f>VLOOKUP(A31,labs!$A$2:$E$201,3,FALSE)</f>
        <v>Blood Pressure</v>
      </c>
    </row>
    <row r="32" spans="1:14" x14ac:dyDescent="0.35">
      <c r="A32">
        <v>31</v>
      </c>
      <c r="B32" t="s">
        <v>52</v>
      </c>
      <c r="C32">
        <v>41</v>
      </c>
      <c r="D32" t="s">
        <v>21</v>
      </c>
      <c r="E32">
        <v>5</v>
      </c>
      <c r="F32" s="1">
        <v>45670</v>
      </c>
      <c r="G32" s="1">
        <v>45839</v>
      </c>
      <c r="H32">
        <v>2</v>
      </c>
      <c r="I32">
        <v>9196</v>
      </c>
      <c r="M32">
        <f t="shared" si="0"/>
        <v>169</v>
      </c>
      <c r="N32" t="str">
        <f>VLOOKUP(A32,labs!$A$2:$E$201,3,FALSE)</f>
        <v>Cholesterol</v>
      </c>
    </row>
    <row r="33" spans="1:14" x14ac:dyDescent="0.35">
      <c r="A33">
        <v>32</v>
      </c>
      <c r="B33" t="s">
        <v>53</v>
      </c>
      <c r="C33">
        <v>87</v>
      </c>
      <c r="D33" t="s">
        <v>25</v>
      </c>
      <c r="E33">
        <v>3</v>
      </c>
      <c r="F33" s="1">
        <v>45680</v>
      </c>
      <c r="G33" s="1">
        <v>45684</v>
      </c>
      <c r="H33">
        <v>1</v>
      </c>
      <c r="I33">
        <v>5533</v>
      </c>
      <c r="M33">
        <f t="shared" si="0"/>
        <v>4</v>
      </c>
      <c r="N33" t="str">
        <f>VLOOKUP(A33,labs!$A$2:$E$201,3,FALSE)</f>
        <v>Cholesterol</v>
      </c>
    </row>
    <row r="34" spans="1:14" x14ac:dyDescent="0.35">
      <c r="A34">
        <v>33</v>
      </c>
      <c r="B34" t="s">
        <v>54</v>
      </c>
      <c r="C34">
        <v>51</v>
      </c>
      <c r="D34" t="s">
        <v>21</v>
      </c>
      <c r="E34">
        <v>4</v>
      </c>
      <c r="F34" s="1">
        <v>45756</v>
      </c>
      <c r="G34" s="1">
        <v>45779</v>
      </c>
      <c r="H34">
        <v>2</v>
      </c>
      <c r="I34">
        <v>5367</v>
      </c>
      <c r="M34">
        <f t="shared" si="0"/>
        <v>23</v>
      </c>
      <c r="N34" t="str">
        <f>VLOOKUP(A34,labs!$A$2:$E$201,3,FALSE)</f>
        <v>Creatinine</v>
      </c>
    </row>
    <row r="35" spans="1:14" x14ac:dyDescent="0.35">
      <c r="A35">
        <v>34</v>
      </c>
      <c r="B35" t="s">
        <v>55</v>
      </c>
      <c r="C35">
        <v>73</v>
      </c>
      <c r="D35" t="s">
        <v>25</v>
      </c>
      <c r="E35">
        <v>3</v>
      </c>
      <c r="F35" s="1">
        <v>45762</v>
      </c>
      <c r="G35" s="1">
        <v>45771</v>
      </c>
      <c r="H35">
        <v>2</v>
      </c>
      <c r="I35">
        <v>5368</v>
      </c>
      <c r="M35">
        <f t="shared" si="0"/>
        <v>9</v>
      </c>
      <c r="N35" t="str">
        <f>VLOOKUP(A35,labs!$A$2:$E$201,3,FALSE)</f>
        <v>Blood Pressure</v>
      </c>
    </row>
    <row r="36" spans="1:14" x14ac:dyDescent="0.35">
      <c r="A36">
        <v>35</v>
      </c>
      <c r="B36" t="s">
        <v>56</v>
      </c>
      <c r="C36">
        <v>54</v>
      </c>
      <c r="D36" t="s">
        <v>21</v>
      </c>
      <c r="E36">
        <v>1</v>
      </c>
      <c r="F36" s="1">
        <v>45687</v>
      </c>
      <c r="G36" s="1">
        <v>45700</v>
      </c>
      <c r="H36">
        <v>3</v>
      </c>
      <c r="I36">
        <v>5797</v>
      </c>
      <c r="M36">
        <f t="shared" si="0"/>
        <v>13</v>
      </c>
      <c r="N36" t="str">
        <f>VLOOKUP(A36,labs!$A$2:$E$201,3,FALSE)</f>
        <v>Vitamin D</v>
      </c>
    </row>
    <row r="37" spans="1:14" x14ac:dyDescent="0.35">
      <c r="A37">
        <v>36</v>
      </c>
      <c r="B37" t="s">
        <v>57</v>
      </c>
      <c r="C37">
        <v>78</v>
      </c>
      <c r="D37" t="s">
        <v>21</v>
      </c>
      <c r="E37">
        <v>1</v>
      </c>
      <c r="F37" s="1">
        <v>45674</v>
      </c>
      <c r="G37" s="1">
        <v>45758</v>
      </c>
      <c r="H37">
        <v>2</v>
      </c>
      <c r="I37">
        <v>8922</v>
      </c>
      <c r="M37">
        <f t="shared" si="0"/>
        <v>84</v>
      </c>
    </row>
    <row r="38" spans="1:14" x14ac:dyDescent="0.35">
      <c r="A38">
        <v>37</v>
      </c>
      <c r="B38" t="s">
        <v>58</v>
      </c>
      <c r="C38">
        <v>56</v>
      </c>
      <c r="D38" t="s">
        <v>21</v>
      </c>
      <c r="E38">
        <v>5</v>
      </c>
      <c r="F38" s="1">
        <v>45770</v>
      </c>
      <c r="G38" s="1">
        <v>45780</v>
      </c>
      <c r="H38">
        <v>1</v>
      </c>
      <c r="I38">
        <v>7526</v>
      </c>
      <c r="M38">
        <f t="shared" si="0"/>
        <v>10</v>
      </c>
    </row>
    <row r="39" spans="1:14" x14ac:dyDescent="0.35">
      <c r="A39">
        <v>38</v>
      </c>
      <c r="B39" t="s">
        <v>59</v>
      </c>
      <c r="C39">
        <v>88</v>
      </c>
      <c r="D39" t="s">
        <v>21</v>
      </c>
      <c r="E39">
        <v>6</v>
      </c>
      <c r="F39" s="1">
        <v>45719</v>
      </c>
      <c r="G39" s="1">
        <v>45738</v>
      </c>
      <c r="H39">
        <v>2</v>
      </c>
      <c r="I39">
        <v>3792</v>
      </c>
      <c r="M39">
        <f t="shared" si="0"/>
        <v>19</v>
      </c>
    </row>
    <row r="40" spans="1:14" x14ac:dyDescent="0.35">
      <c r="A40">
        <v>39</v>
      </c>
      <c r="B40" t="s">
        <v>60</v>
      </c>
      <c r="C40">
        <v>71</v>
      </c>
      <c r="D40" t="s">
        <v>25</v>
      </c>
      <c r="E40">
        <v>3</v>
      </c>
      <c r="F40" s="1">
        <v>45741</v>
      </c>
      <c r="G40" s="1">
        <v>45742</v>
      </c>
      <c r="H40">
        <v>3</v>
      </c>
      <c r="I40">
        <v>4861</v>
      </c>
      <c r="M40">
        <f t="shared" si="0"/>
        <v>1</v>
      </c>
    </row>
    <row r="41" spans="1:14" x14ac:dyDescent="0.35">
      <c r="A41">
        <v>40</v>
      </c>
      <c r="B41" t="s">
        <v>61</v>
      </c>
      <c r="C41">
        <v>57</v>
      </c>
      <c r="D41" t="s">
        <v>25</v>
      </c>
      <c r="E41">
        <v>9</v>
      </c>
      <c r="F41" s="1">
        <v>45769</v>
      </c>
      <c r="G41" s="1">
        <v>45820</v>
      </c>
      <c r="H41">
        <v>3</v>
      </c>
      <c r="I41">
        <v>7732</v>
      </c>
      <c r="M41">
        <f t="shared" si="0"/>
        <v>51</v>
      </c>
    </row>
    <row r="42" spans="1:14" x14ac:dyDescent="0.35">
      <c r="A42">
        <v>41</v>
      </c>
      <c r="B42" t="s">
        <v>62</v>
      </c>
      <c r="C42">
        <v>89</v>
      </c>
      <c r="D42" t="s">
        <v>21</v>
      </c>
      <c r="E42">
        <v>5</v>
      </c>
      <c r="F42" s="1">
        <v>45743</v>
      </c>
      <c r="G42" s="1">
        <v>45828</v>
      </c>
      <c r="H42">
        <v>2</v>
      </c>
      <c r="I42">
        <v>5476</v>
      </c>
      <c r="M42">
        <f t="shared" si="0"/>
        <v>85</v>
      </c>
    </row>
    <row r="43" spans="1:14" x14ac:dyDescent="0.35">
      <c r="A43">
        <v>42</v>
      </c>
      <c r="B43" t="s">
        <v>63</v>
      </c>
      <c r="C43">
        <v>45</v>
      </c>
      <c r="D43" t="s">
        <v>21</v>
      </c>
      <c r="E43">
        <v>8</v>
      </c>
      <c r="F43" s="1">
        <v>45798</v>
      </c>
      <c r="G43" s="1">
        <v>45848</v>
      </c>
      <c r="H43">
        <v>3</v>
      </c>
      <c r="I43">
        <v>5417</v>
      </c>
      <c r="M43">
        <f t="shared" si="0"/>
        <v>50</v>
      </c>
    </row>
    <row r="44" spans="1:14" x14ac:dyDescent="0.35">
      <c r="A44">
        <v>43</v>
      </c>
      <c r="B44" t="s">
        <v>64</v>
      </c>
      <c r="C44">
        <v>44</v>
      </c>
      <c r="D44" t="s">
        <v>25</v>
      </c>
      <c r="E44">
        <v>1</v>
      </c>
      <c r="F44" s="1">
        <v>45676</v>
      </c>
      <c r="G44" s="1">
        <v>45784</v>
      </c>
      <c r="H44">
        <v>1</v>
      </c>
      <c r="I44">
        <v>3645</v>
      </c>
      <c r="M44">
        <f t="shared" si="0"/>
        <v>108</v>
      </c>
    </row>
    <row r="45" spans="1:14" x14ac:dyDescent="0.35">
      <c r="A45">
        <v>44</v>
      </c>
      <c r="B45" t="s">
        <v>65</v>
      </c>
      <c r="C45">
        <v>76</v>
      </c>
      <c r="D45" t="s">
        <v>21</v>
      </c>
      <c r="E45">
        <v>5</v>
      </c>
      <c r="F45" s="1">
        <v>45834</v>
      </c>
      <c r="G45" s="1">
        <v>45843</v>
      </c>
      <c r="H45">
        <v>1</v>
      </c>
      <c r="I45">
        <v>8563</v>
      </c>
      <c r="M45">
        <f t="shared" si="0"/>
        <v>9</v>
      </c>
    </row>
    <row r="46" spans="1:14" x14ac:dyDescent="0.35">
      <c r="A46">
        <v>45</v>
      </c>
      <c r="B46" t="s">
        <v>66</v>
      </c>
      <c r="C46">
        <v>80</v>
      </c>
      <c r="D46" t="s">
        <v>21</v>
      </c>
      <c r="E46">
        <v>3</v>
      </c>
      <c r="F46" s="1">
        <v>45757</v>
      </c>
      <c r="G46" s="1">
        <v>45789</v>
      </c>
      <c r="H46">
        <v>2</v>
      </c>
      <c r="I46">
        <v>3205</v>
      </c>
      <c r="M46">
        <f t="shared" si="0"/>
        <v>32</v>
      </c>
    </row>
    <row r="47" spans="1:14" x14ac:dyDescent="0.35">
      <c r="A47">
        <v>46</v>
      </c>
      <c r="B47" t="s">
        <v>67</v>
      </c>
      <c r="C47">
        <v>73</v>
      </c>
      <c r="D47" t="s">
        <v>21</v>
      </c>
      <c r="E47">
        <v>1</v>
      </c>
      <c r="F47" s="1">
        <v>45797</v>
      </c>
      <c r="G47" s="1">
        <v>45801</v>
      </c>
      <c r="H47">
        <v>2</v>
      </c>
      <c r="I47">
        <v>5030</v>
      </c>
      <c r="M47">
        <f t="shared" si="0"/>
        <v>4</v>
      </c>
    </row>
    <row r="48" spans="1:14" x14ac:dyDescent="0.35">
      <c r="A48">
        <v>47</v>
      </c>
      <c r="B48" t="s">
        <v>68</v>
      </c>
      <c r="C48">
        <v>84</v>
      </c>
      <c r="D48" t="s">
        <v>25</v>
      </c>
      <c r="E48">
        <v>4</v>
      </c>
      <c r="F48" s="1">
        <v>45804</v>
      </c>
      <c r="G48" s="1">
        <v>45813</v>
      </c>
      <c r="H48">
        <v>2</v>
      </c>
      <c r="I48">
        <v>4872</v>
      </c>
      <c r="M48">
        <f t="shared" si="0"/>
        <v>9</v>
      </c>
    </row>
    <row r="49" spans="1:13" x14ac:dyDescent="0.35">
      <c r="A49">
        <v>48</v>
      </c>
      <c r="B49" t="s">
        <v>69</v>
      </c>
      <c r="C49">
        <v>81</v>
      </c>
      <c r="D49" t="s">
        <v>25</v>
      </c>
      <c r="E49">
        <v>5</v>
      </c>
      <c r="F49" s="1">
        <v>45733</v>
      </c>
      <c r="G49" s="1">
        <v>45740</v>
      </c>
      <c r="H49">
        <v>3</v>
      </c>
      <c r="I49">
        <v>5072</v>
      </c>
      <c r="M49">
        <f t="shared" si="0"/>
        <v>7</v>
      </c>
    </row>
    <row r="50" spans="1:13" x14ac:dyDescent="0.35">
      <c r="A50">
        <v>49</v>
      </c>
      <c r="B50" t="s">
        <v>70</v>
      </c>
      <c r="C50">
        <v>86</v>
      </c>
      <c r="D50" t="s">
        <v>25</v>
      </c>
      <c r="E50">
        <v>7</v>
      </c>
      <c r="F50" s="1">
        <v>45666</v>
      </c>
      <c r="G50" s="1">
        <v>45799</v>
      </c>
      <c r="H50">
        <v>1</v>
      </c>
      <c r="I50">
        <v>3854</v>
      </c>
      <c r="M50">
        <f t="shared" si="0"/>
        <v>133</v>
      </c>
    </row>
    <row r="51" spans="1:13" x14ac:dyDescent="0.35">
      <c r="A51">
        <v>50</v>
      </c>
      <c r="B51" t="s">
        <v>71</v>
      </c>
      <c r="C51">
        <v>32</v>
      </c>
      <c r="D51" t="s">
        <v>21</v>
      </c>
      <c r="E51">
        <v>1</v>
      </c>
      <c r="F51" s="1">
        <v>45685</v>
      </c>
      <c r="G51" s="1">
        <v>45723</v>
      </c>
      <c r="H51">
        <v>1</v>
      </c>
      <c r="I51">
        <v>6021</v>
      </c>
      <c r="M51">
        <f t="shared" si="0"/>
        <v>38</v>
      </c>
    </row>
    <row r="52" spans="1:13" x14ac:dyDescent="0.35">
      <c r="A52">
        <v>51</v>
      </c>
      <c r="B52" t="s">
        <v>72</v>
      </c>
      <c r="C52">
        <v>66</v>
      </c>
      <c r="D52" t="s">
        <v>21</v>
      </c>
      <c r="E52">
        <v>3</v>
      </c>
      <c r="F52" s="1">
        <v>45785</v>
      </c>
      <c r="G52" s="1">
        <v>45811</v>
      </c>
      <c r="H52">
        <v>3</v>
      </c>
      <c r="I52">
        <v>6662</v>
      </c>
      <c r="M52">
        <f t="shared" si="0"/>
        <v>26</v>
      </c>
    </row>
    <row r="53" spans="1:13" x14ac:dyDescent="0.35">
      <c r="A53">
        <v>52</v>
      </c>
      <c r="B53" t="s">
        <v>73</v>
      </c>
      <c r="C53">
        <v>80</v>
      </c>
      <c r="D53" t="s">
        <v>25</v>
      </c>
      <c r="E53">
        <v>2</v>
      </c>
      <c r="F53" s="1">
        <v>45709</v>
      </c>
      <c r="G53" s="1">
        <v>45778</v>
      </c>
      <c r="H53">
        <v>1</v>
      </c>
      <c r="I53">
        <v>8514</v>
      </c>
      <c r="M53">
        <f t="shared" si="0"/>
        <v>69</v>
      </c>
    </row>
    <row r="54" spans="1:13" x14ac:dyDescent="0.35">
      <c r="A54">
        <v>53</v>
      </c>
      <c r="B54" t="s">
        <v>74</v>
      </c>
      <c r="C54">
        <v>36</v>
      </c>
      <c r="D54" t="s">
        <v>25</v>
      </c>
      <c r="E54">
        <v>9</v>
      </c>
      <c r="F54" s="1">
        <v>45740</v>
      </c>
      <c r="G54" s="1">
        <v>45744</v>
      </c>
      <c r="H54">
        <v>2</v>
      </c>
      <c r="I54">
        <v>7031</v>
      </c>
      <c r="M54">
        <f t="shared" si="0"/>
        <v>4</v>
      </c>
    </row>
    <row r="55" spans="1:13" x14ac:dyDescent="0.35">
      <c r="A55">
        <v>54</v>
      </c>
      <c r="B55" t="s">
        <v>75</v>
      </c>
      <c r="C55">
        <v>50</v>
      </c>
      <c r="D55" t="s">
        <v>25</v>
      </c>
      <c r="E55">
        <v>10</v>
      </c>
      <c r="F55" s="1">
        <v>45768</v>
      </c>
      <c r="G55" s="1">
        <v>45817</v>
      </c>
      <c r="H55">
        <v>2</v>
      </c>
      <c r="I55">
        <v>8030</v>
      </c>
      <c r="M55">
        <f t="shared" si="0"/>
        <v>49</v>
      </c>
    </row>
    <row r="56" spans="1:13" x14ac:dyDescent="0.35">
      <c r="A56">
        <v>55</v>
      </c>
      <c r="B56" t="s">
        <v>76</v>
      </c>
      <c r="C56">
        <v>38</v>
      </c>
      <c r="D56" t="s">
        <v>25</v>
      </c>
      <c r="E56">
        <v>6</v>
      </c>
      <c r="F56" s="1">
        <v>45801</v>
      </c>
      <c r="G56" s="1">
        <v>45809</v>
      </c>
      <c r="H56">
        <v>2</v>
      </c>
      <c r="I56">
        <v>4708</v>
      </c>
      <c r="M56">
        <f t="shared" si="0"/>
        <v>8</v>
      </c>
    </row>
    <row r="57" spans="1:13" x14ac:dyDescent="0.35">
      <c r="A57">
        <v>56</v>
      </c>
      <c r="B57" t="s">
        <v>77</v>
      </c>
      <c r="C57">
        <v>68</v>
      </c>
      <c r="D57" t="s">
        <v>21</v>
      </c>
      <c r="E57">
        <v>10</v>
      </c>
      <c r="F57" s="1">
        <v>45774</v>
      </c>
      <c r="G57" s="1">
        <v>45808</v>
      </c>
      <c r="H57">
        <v>1</v>
      </c>
      <c r="I57">
        <v>5502</v>
      </c>
      <c r="M57">
        <f t="shared" si="0"/>
        <v>34</v>
      </c>
    </row>
    <row r="58" spans="1:13" x14ac:dyDescent="0.35">
      <c r="A58">
        <v>57</v>
      </c>
      <c r="B58" t="s">
        <v>78</v>
      </c>
      <c r="C58">
        <v>47</v>
      </c>
      <c r="D58" t="s">
        <v>25</v>
      </c>
      <c r="E58">
        <v>3</v>
      </c>
      <c r="F58" s="1">
        <v>45726</v>
      </c>
      <c r="G58" s="1">
        <v>45732</v>
      </c>
      <c r="H58">
        <v>2</v>
      </c>
      <c r="I58">
        <v>9112</v>
      </c>
      <c r="M58">
        <f t="shared" si="0"/>
        <v>6</v>
      </c>
    </row>
    <row r="59" spans="1:13" x14ac:dyDescent="0.35">
      <c r="A59">
        <v>58</v>
      </c>
      <c r="B59" t="s">
        <v>79</v>
      </c>
      <c r="C59">
        <v>33</v>
      </c>
      <c r="D59" t="s">
        <v>21</v>
      </c>
      <c r="E59">
        <v>8</v>
      </c>
      <c r="F59" s="1">
        <v>45756</v>
      </c>
      <c r="G59" s="1">
        <v>45766</v>
      </c>
      <c r="H59">
        <v>3</v>
      </c>
      <c r="I59">
        <v>3332</v>
      </c>
      <c r="M59">
        <f t="shared" si="0"/>
        <v>10</v>
      </c>
    </row>
    <row r="60" spans="1:13" x14ac:dyDescent="0.35">
      <c r="A60">
        <v>59</v>
      </c>
      <c r="B60" t="s">
        <v>80</v>
      </c>
      <c r="C60">
        <v>54</v>
      </c>
      <c r="D60" t="s">
        <v>25</v>
      </c>
      <c r="E60">
        <v>8</v>
      </c>
      <c r="F60" s="1">
        <v>45797</v>
      </c>
      <c r="G60" s="1">
        <v>45845</v>
      </c>
      <c r="H60">
        <v>3</v>
      </c>
      <c r="I60">
        <v>9304</v>
      </c>
      <c r="M60">
        <f t="shared" si="0"/>
        <v>48</v>
      </c>
    </row>
    <row r="61" spans="1:13" x14ac:dyDescent="0.35">
      <c r="A61">
        <v>60</v>
      </c>
      <c r="B61" t="s">
        <v>81</v>
      </c>
      <c r="C61">
        <v>89</v>
      </c>
      <c r="D61" t="s">
        <v>21</v>
      </c>
      <c r="E61">
        <v>2</v>
      </c>
      <c r="F61" s="1">
        <v>45682</v>
      </c>
      <c r="G61" s="1">
        <v>45769</v>
      </c>
      <c r="H61">
        <v>1</v>
      </c>
      <c r="I61">
        <v>2201</v>
      </c>
      <c r="M61">
        <f t="shared" si="0"/>
        <v>87</v>
      </c>
    </row>
    <row r="62" spans="1:13" x14ac:dyDescent="0.35">
      <c r="A62">
        <v>61</v>
      </c>
      <c r="B62" t="s">
        <v>82</v>
      </c>
      <c r="C62">
        <v>43</v>
      </c>
      <c r="D62" t="s">
        <v>25</v>
      </c>
      <c r="E62">
        <v>6</v>
      </c>
      <c r="F62" s="1">
        <v>45837</v>
      </c>
      <c r="G62" s="1">
        <v>45842</v>
      </c>
      <c r="H62">
        <v>3</v>
      </c>
      <c r="I62">
        <v>5507</v>
      </c>
      <c r="M62">
        <f t="shared" si="0"/>
        <v>5</v>
      </c>
    </row>
    <row r="63" spans="1:13" x14ac:dyDescent="0.35">
      <c r="A63">
        <v>62</v>
      </c>
      <c r="B63" t="s">
        <v>83</v>
      </c>
      <c r="C63">
        <v>79</v>
      </c>
      <c r="D63" t="s">
        <v>25</v>
      </c>
      <c r="E63">
        <v>7</v>
      </c>
      <c r="F63" s="1">
        <v>45780</v>
      </c>
      <c r="G63" s="1">
        <v>45781</v>
      </c>
      <c r="H63">
        <v>3</v>
      </c>
      <c r="I63">
        <v>8456</v>
      </c>
      <c r="M63">
        <f t="shared" si="0"/>
        <v>1</v>
      </c>
    </row>
    <row r="64" spans="1:13" x14ac:dyDescent="0.35">
      <c r="A64">
        <v>63</v>
      </c>
      <c r="B64" t="s">
        <v>84</v>
      </c>
      <c r="C64">
        <v>87</v>
      </c>
      <c r="D64" t="s">
        <v>25</v>
      </c>
      <c r="E64">
        <v>2</v>
      </c>
      <c r="F64" s="1">
        <v>45710</v>
      </c>
      <c r="G64" s="1">
        <v>45716</v>
      </c>
      <c r="H64">
        <v>1</v>
      </c>
      <c r="I64">
        <v>6212</v>
      </c>
      <c r="M64">
        <f t="shared" si="0"/>
        <v>6</v>
      </c>
    </row>
    <row r="65" spans="1:13" x14ac:dyDescent="0.35">
      <c r="A65">
        <v>64</v>
      </c>
      <c r="B65" t="s">
        <v>85</v>
      </c>
      <c r="C65">
        <v>38</v>
      </c>
      <c r="D65" t="s">
        <v>25</v>
      </c>
      <c r="E65">
        <v>10</v>
      </c>
      <c r="F65" s="1">
        <v>45808</v>
      </c>
      <c r="G65" s="1">
        <v>45811</v>
      </c>
      <c r="H65">
        <v>2</v>
      </c>
      <c r="I65">
        <v>9833</v>
      </c>
      <c r="M65">
        <f t="shared" si="0"/>
        <v>3</v>
      </c>
    </row>
    <row r="66" spans="1:13" x14ac:dyDescent="0.35">
      <c r="A66">
        <v>65</v>
      </c>
      <c r="B66" t="s">
        <v>86</v>
      </c>
      <c r="C66">
        <v>55</v>
      </c>
      <c r="D66" t="s">
        <v>21</v>
      </c>
      <c r="E66">
        <v>2</v>
      </c>
      <c r="F66" s="1">
        <v>45801</v>
      </c>
      <c r="G66" s="1">
        <v>45808</v>
      </c>
      <c r="H66">
        <v>2</v>
      </c>
      <c r="I66">
        <v>7032</v>
      </c>
      <c r="M66">
        <f t="shared" si="0"/>
        <v>7</v>
      </c>
    </row>
    <row r="67" spans="1:13" x14ac:dyDescent="0.35">
      <c r="A67">
        <v>66</v>
      </c>
      <c r="B67" t="s">
        <v>87</v>
      </c>
      <c r="C67">
        <v>82</v>
      </c>
      <c r="D67" t="s">
        <v>25</v>
      </c>
      <c r="E67">
        <v>10</v>
      </c>
      <c r="F67" s="1">
        <v>45714</v>
      </c>
      <c r="G67" s="1">
        <v>45720</v>
      </c>
      <c r="H67">
        <v>2</v>
      </c>
      <c r="I67">
        <v>9970</v>
      </c>
      <c r="M67">
        <f t="shared" ref="M67:M120" si="2">DATEDIF(F67,G67,"d")</f>
        <v>6</v>
      </c>
    </row>
    <row r="68" spans="1:13" x14ac:dyDescent="0.35">
      <c r="A68">
        <v>67</v>
      </c>
      <c r="B68" t="s">
        <v>88</v>
      </c>
      <c r="C68">
        <v>31</v>
      </c>
      <c r="D68" t="s">
        <v>21</v>
      </c>
      <c r="E68">
        <v>1</v>
      </c>
      <c r="F68" s="1">
        <v>45696</v>
      </c>
      <c r="G68" s="1">
        <v>45745</v>
      </c>
      <c r="H68">
        <v>1</v>
      </c>
      <c r="I68">
        <v>2574</v>
      </c>
      <c r="M68">
        <f t="shared" si="2"/>
        <v>49</v>
      </c>
    </row>
    <row r="69" spans="1:13" x14ac:dyDescent="0.35">
      <c r="A69">
        <v>68</v>
      </c>
      <c r="B69" t="s">
        <v>89</v>
      </c>
      <c r="C69">
        <v>49</v>
      </c>
      <c r="D69" t="s">
        <v>21</v>
      </c>
      <c r="E69">
        <v>8</v>
      </c>
      <c r="F69" s="1">
        <v>45766</v>
      </c>
      <c r="G69" s="1">
        <v>45771</v>
      </c>
      <c r="H69">
        <v>3</v>
      </c>
      <c r="I69">
        <v>8387</v>
      </c>
      <c r="M69">
        <f t="shared" si="2"/>
        <v>5</v>
      </c>
    </row>
    <row r="70" spans="1:13" x14ac:dyDescent="0.35">
      <c r="A70">
        <v>69</v>
      </c>
      <c r="B70" t="s">
        <v>90</v>
      </c>
      <c r="C70">
        <v>57</v>
      </c>
      <c r="D70" t="s">
        <v>21</v>
      </c>
      <c r="E70">
        <v>1</v>
      </c>
      <c r="F70" s="1">
        <v>45838</v>
      </c>
      <c r="G70" s="1">
        <v>45845</v>
      </c>
      <c r="H70">
        <v>2</v>
      </c>
      <c r="I70">
        <v>2536</v>
      </c>
      <c r="M70">
        <f t="shared" si="2"/>
        <v>7</v>
      </c>
    </row>
    <row r="71" spans="1:13" x14ac:dyDescent="0.35">
      <c r="A71">
        <v>70</v>
      </c>
      <c r="B71" t="s">
        <v>91</v>
      </c>
      <c r="C71">
        <v>76</v>
      </c>
      <c r="D71" t="s">
        <v>21</v>
      </c>
      <c r="E71">
        <v>9</v>
      </c>
      <c r="F71" s="1">
        <v>45699</v>
      </c>
      <c r="G71" s="1">
        <v>45718</v>
      </c>
      <c r="H71">
        <v>2</v>
      </c>
      <c r="I71">
        <v>3625</v>
      </c>
      <c r="M71">
        <f t="shared" si="2"/>
        <v>19</v>
      </c>
    </row>
    <row r="72" spans="1:13" x14ac:dyDescent="0.35">
      <c r="A72">
        <v>71</v>
      </c>
      <c r="B72" t="s">
        <v>92</v>
      </c>
      <c r="C72">
        <v>89</v>
      </c>
      <c r="D72" t="s">
        <v>25</v>
      </c>
      <c r="E72">
        <v>6</v>
      </c>
      <c r="F72" s="1">
        <v>45824</v>
      </c>
      <c r="G72" s="1">
        <v>45832</v>
      </c>
      <c r="H72">
        <v>1</v>
      </c>
      <c r="I72">
        <v>4122</v>
      </c>
      <c r="M72">
        <f t="shared" si="2"/>
        <v>8</v>
      </c>
    </row>
    <row r="73" spans="1:13" x14ac:dyDescent="0.35">
      <c r="A73">
        <v>72</v>
      </c>
      <c r="B73" t="s">
        <v>93</v>
      </c>
      <c r="C73">
        <v>36</v>
      </c>
      <c r="D73" t="s">
        <v>21</v>
      </c>
      <c r="E73">
        <v>7</v>
      </c>
      <c r="F73" s="1">
        <v>45799</v>
      </c>
      <c r="G73" s="1">
        <v>45802</v>
      </c>
      <c r="H73">
        <v>2</v>
      </c>
      <c r="I73">
        <v>9973</v>
      </c>
      <c r="M73">
        <f t="shared" si="2"/>
        <v>3</v>
      </c>
    </row>
    <row r="74" spans="1:13" x14ac:dyDescent="0.35">
      <c r="A74">
        <v>73</v>
      </c>
      <c r="B74" t="s">
        <v>94</v>
      </c>
      <c r="C74">
        <v>73</v>
      </c>
      <c r="D74" t="s">
        <v>21</v>
      </c>
      <c r="E74">
        <v>10</v>
      </c>
      <c r="F74" s="1">
        <v>45779</v>
      </c>
      <c r="G74" s="1">
        <v>45783</v>
      </c>
      <c r="H74">
        <v>1</v>
      </c>
      <c r="I74">
        <v>2385</v>
      </c>
      <c r="M74">
        <f t="shared" si="2"/>
        <v>4</v>
      </c>
    </row>
    <row r="75" spans="1:13" x14ac:dyDescent="0.35">
      <c r="A75">
        <v>74</v>
      </c>
      <c r="B75" t="s">
        <v>95</v>
      </c>
      <c r="C75">
        <v>37</v>
      </c>
      <c r="D75" t="s">
        <v>21</v>
      </c>
      <c r="E75">
        <v>7</v>
      </c>
      <c r="F75" s="1">
        <v>45790</v>
      </c>
      <c r="G75" s="1">
        <v>45796</v>
      </c>
      <c r="H75">
        <v>3</v>
      </c>
      <c r="I75">
        <v>5281</v>
      </c>
      <c r="M75">
        <f t="shared" si="2"/>
        <v>6</v>
      </c>
    </row>
    <row r="76" spans="1:13" x14ac:dyDescent="0.35">
      <c r="A76">
        <v>75</v>
      </c>
      <c r="B76" t="s">
        <v>96</v>
      </c>
      <c r="C76">
        <v>76</v>
      </c>
      <c r="D76" t="s">
        <v>25</v>
      </c>
      <c r="E76">
        <v>10</v>
      </c>
      <c r="F76" s="1">
        <v>45820</v>
      </c>
      <c r="G76" s="1">
        <v>45822</v>
      </c>
      <c r="H76">
        <v>1</v>
      </c>
      <c r="I76">
        <v>2474</v>
      </c>
      <c r="M76">
        <f t="shared" si="2"/>
        <v>2</v>
      </c>
    </row>
    <row r="77" spans="1:13" x14ac:dyDescent="0.35">
      <c r="A77">
        <v>76</v>
      </c>
      <c r="B77" t="s">
        <v>97</v>
      </c>
      <c r="C77">
        <v>64</v>
      </c>
      <c r="D77" t="s">
        <v>25</v>
      </c>
      <c r="E77">
        <v>3</v>
      </c>
      <c r="F77" s="1">
        <v>45732</v>
      </c>
      <c r="G77" s="1">
        <v>45747</v>
      </c>
      <c r="H77">
        <v>1</v>
      </c>
      <c r="I77">
        <v>2417</v>
      </c>
      <c r="M77">
        <f t="shared" si="2"/>
        <v>15</v>
      </c>
    </row>
    <row r="78" spans="1:13" x14ac:dyDescent="0.35">
      <c r="A78">
        <v>77</v>
      </c>
      <c r="B78" t="s">
        <v>98</v>
      </c>
      <c r="C78">
        <v>43</v>
      </c>
      <c r="D78" t="s">
        <v>25</v>
      </c>
      <c r="E78">
        <v>2</v>
      </c>
      <c r="F78" s="1">
        <v>45803</v>
      </c>
      <c r="G78" s="1">
        <v>45805</v>
      </c>
      <c r="H78">
        <v>1</v>
      </c>
      <c r="I78">
        <v>8490</v>
      </c>
      <c r="M78">
        <f t="shared" si="2"/>
        <v>2</v>
      </c>
    </row>
    <row r="79" spans="1:13" x14ac:dyDescent="0.35">
      <c r="A79">
        <v>78</v>
      </c>
      <c r="B79" t="s">
        <v>99</v>
      </c>
      <c r="C79">
        <v>46</v>
      </c>
      <c r="D79" t="s">
        <v>25</v>
      </c>
      <c r="E79">
        <v>9</v>
      </c>
      <c r="F79" s="1">
        <v>45733</v>
      </c>
      <c r="G79" s="1">
        <v>45740</v>
      </c>
      <c r="H79">
        <v>1</v>
      </c>
      <c r="I79">
        <v>5600</v>
      </c>
      <c r="M79">
        <f t="shared" si="2"/>
        <v>7</v>
      </c>
    </row>
    <row r="80" spans="1:13" x14ac:dyDescent="0.35">
      <c r="A80">
        <v>79</v>
      </c>
      <c r="B80" t="s">
        <v>100</v>
      </c>
      <c r="C80">
        <v>65</v>
      </c>
      <c r="D80" t="s">
        <v>21</v>
      </c>
      <c r="E80">
        <v>8</v>
      </c>
      <c r="F80" s="1">
        <v>45666</v>
      </c>
      <c r="G80" s="1">
        <v>45798</v>
      </c>
      <c r="H80">
        <v>3</v>
      </c>
      <c r="I80">
        <v>8783</v>
      </c>
      <c r="M80">
        <f t="shared" si="2"/>
        <v>132</v>
      </c>
    </row>
    <row r="81" spans="1:13" x14ac:dyDescent="0.35">
      <c r="A81">
        <v>80</v>
      </c>
      <c r="B81" t="s">
        <v>101</v>
      </c>
      <c r="C81">
        <v>79</v>
      </c>
      <c r="D81" t="s">
        <v>21</v>
      </c>
      <c r="E81">
        <v>10</v>
      </c>
      <c r="F81" s="1">
        <v>45731</v>
      </c>
      <c r="G81" s="1">
        <v>45804</v>
      </c>
      <c r="H81">
        <v>3</v>
      </c>
      <c r="I81">
        <v>7034</v>
      </c>
      <c r="M81">
        <f t="shared" si="2"/>
        <v>73</v>
      </c>
    </row>
    <row r="82" spans="1:13" x14ac:dyDescent="0.35">
      <c r="A82">
        <v>81</v>
      </c>
      <c r="B82" t="s">
        <v>102</v>
      </c>
      <c r="C82">
        <v>69</v>
      </c>
      <c r="D82" t="s">
        <v>25</v>
      </c>
      <c r="E82">
        <v>7</v>
      </c>
      <c r="F82" s="1">
        <v>45802</v>
      </c>
      <c r="G82" s="1">
        <v>45811</v>
      </c>
      <c r="H82">
        <v>2</v>
      </c>
      <c r="I82">
        <v>2954</v>
      </c>
      <c r="M82">
        <f t="shared" si="2"/>
        <v>9</v>
      </c>
    </row>
    <row r="83" spans="1:13" x14ac:dyDescent="0.35">
      <c r="A83">
        <v>82</v>
      </c>
      <c r="B83" t="s">
        <v>103</v>
      </c>
      <c r="C83">
        <v>33</v>
      </c>
      <c r="D83" t="s">
        <v>21</v>
      </c>
      <c r="E83">
        <v>9</v>
      </c>
      <c r="F83" s="1">
        <v>45664</v>
      </c>
      <c r="G83" s="1">
        <v>45740</v>
      </c>
      <c r="H83">
        <v>3</v>
      </c>
      <c r="I83">
        <v>6971</v>
      </c>
      <c r="M83">
        <f t="shared" si="2"/>
        <v>76</v>
      </c>
    </row>
    <row r="84" spans="1:13" x14ac:dyDescent="0.35">
      <c r="A84">
        <v>83</v>
      </c>
      <c r="B84" t="s">
        <v>104</v>
      </c>
      <c r="C84">
        <v>31</v>
      </c>
      <c r="D84" t="s">
        <v>21</v>
      </c>
      <c r="E84">
        <v>4</v>
      </c>
      <c r="F84" s="1">
        <v>45831</v>
      </c>
      <c r="G84" s="1">
        <v>45833</v>
      </c>
      <c r="H84">
        <v>3</v>
      </c>
      <c r="I84">
        <v>6858</v>
      </c>
      <c r="M84">
        <f t="shared" si="2"/>
        <v>2</v>
      </c>
    </row>
    <row r="85" spans="1:13" x14ac:dyDescent="0.35">
      <c r="A85">
        <v>84</v>
      </c>
      <c r="B85" t="s">
        <v>105</v>
      </c>
      <c r="C85">
        <v>35</v>
      </c>
      <c r="D85" t="s">
        <v>21</v>
      </c>
      <c r="E85">
        <v>4</v>
      </c>
      <c r="F85" s="1">
        <v>45798</v>
      </c>
      <c r="G85" s="1">
        <v>45804</v>
      </c>
      <c r="H85">
        <v>2</v>
      </c>
      <c r="I85">
        <v>7298</v>
      </c>
      <c r="M85">
        <f t="shared" si="2"/>
        <v>6</v>
      </c>
    </row>
    <row r="86" spans="1:13" x14ac:dyDescent="0.35">
      <c r="A86">
        <v>85</v>
      </c>
      <c r="B86" t="s">
        <v>106</v>
      </c>
      <c r="C86">
        <v>83</v>
      </c>
      <c r="D86" t="s">
        <v>25</v>
      </c>
      <c r="E86">
        <v>1</v>
      </c>
      <c r="F86" s="1">
        <v>45825</v>
      </c>
      <c r="G86" s="1">
        <v>45831</v>
      </c>
      <c r="H86">
        <v>3</v>
      </c>
      <c r="I86">
        <v>3205</v>
      </c>
      <c r="M86">
        <f t="shared" si="2"/>
        <v>6</v>
      </c>
    </row>
    <row r="87" spans="1:13" x14ac:dyDescent="0.35">
      <c r="A87">
        <v>86</v>
      </c>
      <c r="B87" t="s">
        <v>107</v>
      </c>
      <c r="C87">
        <v>71</v>
      </c>
      <c r="D87" t="s">
        <v>25</v>
      </c>
      <c r="E87">
        <v>8</v>
      </c>
      <c r="F87" s="1">
        <v>45827</v>
      </c>
      <c r="G87" s="1">
        <v>45837</v>
      </c>
      <c r="H87">
        <v>1</v>
      </c>
      <c r="I87">
        <v>6759</v>
      </c>
      <c r="M87">
        <f t="shared" si="2"/>
        <v>10</v>
      </c>
    </row>
    <row r="88" spans="1:13" x14ac:dyDescent="0.35">
      <c r="A88">
        <v>87</v>
      </c>
      <c r="B88" t="s">
        <v>108</v>
      </c>
      <c r="C88">
        <v>33</v>
      </c>
      <c r="D88" t="s">
        <v>21</v>
      </c>
      <c r="E88">
        <v>3</v>
      </c>
      <c r="F88" s="1">
        <v>45794</v>
      </c>
      <c r="G88" s="1">
        <v>45799</v>
      </c>
      <c r="H88">
        <v>1</v>
      </c>
      <c r="I88">
        <v>6120</v>
      </c>
      <c r="M88">
        <f t="shared" si="2"/>
        <v>5</v>
      </c>
    </row>
    <row r="89" spans="1:13" x14ac:dyDescent="0.35">
      <c r="A89">
        <v>88</v>
      </c>
      <c r="B89" t="s">
        <v>109</v>
      </c>
      <c r="C89">
        <v>83</v>
      </c>
      <c r="D89" t="s">
        <v>25</v>
      </c>
      <c r="E89">
        <v>7</v>
      </c>
      <c r="F89" s="1">
        <v>45835</v>
      </c>
      <c r="G89" s="1">
        <v>45836</v>
      </c>
      <c r="H89">
        <v>2</v>
      </c>
      <c r="I89">
        <v>3990</v>
      </c>
      <c r="M89">
        <f t="shared" si="2"/>
        <v>1</v>
      </c>
    </row>
    <row r="90" spans="1:13" x14ac:dyDescent="0.35">
      <c r="A90">
        <v>89</v>
      </c>
      <c r="B90" t="s">
        <v>110</v>
      </c>
      <c r="C90">
        <v>58</v>
      </c>
      <c r="D90" t="s">
        <v>25</v>
      </c>
      <c r="E90">
        <v>2</v>
      </c>
      <c r="F90" s="1">
        <v>45684</v>
      </c>
      <c r="G90" s="1">
        <v>45792</v>
      </c>
      <c r="H90">
        <v>2</v>
      </c>
      <c r="I90">
        <v>7299</v>
      </c>
      <c r="M90">
        <f t="shared" si="2"/>
        <v>108</v>
      </c>
    </row>
    <row r="91" spans="1:13" x14ac:dyDescent="0.35">
      <c r="A91">
        <v>90</v>
      </c>
      <c r="B91" t="s">
        <v>111</v>
      </c>
      <c r="C91">
        <v>47</v>
      </c>
      <c r="D91" t="s">
        <v>25</v>
      </c>
      <c r="E91">
        <v>2</v>
      </c>
      <c r="F91" s="1">
        <v>45779</v>
      </c>
      <c r="G91" s="1">
        <v>45787</v>
      </c>
      <c r="H91">
        <v>2</v>
      </c>
      <c r="I91">
        <v>6805</v>
      </c>
      <c r="M91">
        <f t="shared" si="2"/>
        <v>8</v>
      </c>
    </row>
    <row r="92" spans="1:13" x14ac:dyDescent="0.35">
      <c r="A92">
        <v>91</v>
      </c>
      <c r="B92" t="s">
        <v>112</v>
      </c>
      <c r="C92">
        <v>55</v>
      </c>
      <c r="D92" t="s">
        <v>25</v>
      </c>
      <c r="E92">
        <v>7</v>
      </c>
      <c r="F92" s="1">
        <v>45662</v>
      </c>
      <c r="G92" s="1">
        <v>45781</v>
      </c>
      <c r="H92">
        <v>1</v>
      </c>
      <c r="I92">
        <v>5572</v>
      </c>
      <c r="M92">
        <f t="shared" si="2"/>
        <v>119</v>
      </c>
    </row>
    <row r="93" spans="1:13" x14ac:dyDescent="0.35">
      <c r="A93">
        <v>92</v>
      </c>
      <c r="B93" t="s">
        <v>113</v>
      </c>
      <c r="C93">
        <v>73</v>
      </c>
      <c r="D93" t="s">
        <v>25</v>
      </c>
      <c r="E93">
        <v>6</v>
      </c>
      <c r="F93" s="1">
        <v>45686</v>
      </c>
      <c r="G93" s="1">
        <v>45777</v>
      </c>
      <c r="H93">
        <v>3</v>
      </c>
      <c r="I93">
        <v>7975</v>
      </c>
      <c r="M93">
        <f t="shared" si="2"/>
        <v>91</v>
      </c>
    </row>
    <row r="94" spans="1:13" x14ac:dyDescent="0.35">
      <c r="A94">
        <v>93</v>
      </c>
      <c r="B94" t="s">
        <v>114</v>
      </c>
      <c r="C94">
        <v>63</v>
      </c>
      <c r="D94" t="s">
        <v>21</v>
      </c>
      <c r="E94">
        <v>3</v>
      </c>
      <c r="F94" s="1">
        <v>45822</v>
      </c>
      <c r="G94" s="1">
        <v>45831</v>
      </c>
      <c r="H94">
        <v>1</v>
      </c>
      <c r="I94">
        <v>7280</v>
      </c>
      <c r="M94">
        <f t="shared" si="2"/>
        <v>9</v>
      </c>
    </row>
    <row r="95" spans="1:13" x14ac:dyDescent="0.35">
      <c r="A95">
        <v>94</v>
      </c>
      <c r="B95" t="s">
        <v>115</v>
      </c>
      <c r="C95">
        <v>39</v>
      </c>
      <c r="D95" t="s">
        <v>25</v>
      </c>
      <c r="E95">
        <v>9</v>
      </c>
      <c r="F95" s="1">
        <v>45823</v>
      </c>
      <c r="G95" s="1">
        <v>45825</v>
      </c>
      <c r="H95">
        <v>2</v>
      </c>
      <c r="I95">
        <v>8320</v>
      </c>
      <c r="M95">
        <f t="shared" si="2"/>
        <v>2</v>
      </c>
    </row>
    <row r="96" spans="1:13" x14ac:dyDescent="0.35">
      <c r="A96">
        <v>95</v>
      </c>
      <c r="B96" t="s">
        <v>116</v>
      </c>
      <c r="C96">
        <v>65</v>
      </c>
      <c r="D96" t="s">
        <v>21</v>
      </c>
      <c r="E96">
        <v>10</v>
      </c>
      <c r="F96" s="1">
        <v>45740</v>
      </c>
      <c r="G96" s="1">
        <v>45761</v>
      </c>
      <c r="H96">
        <v>3</v>
      </c>
      <c r="I96">
        <v>6380</v>
      </c>
      <c r="M96">
        <f t="shared" si="2"/>
        <v>21</v>
      </c>
    </row>
    <row r="97" spans="1:13" x14ac:dyDescent="0.35">
      <c r="A97">
        <v>96</v>
      </c>
      <c r="B97" t="s">
        <v>117</v>
      </c>
      <c r="C97">
        <v>43</v>
      </c>
      <c r="D97" t="s">
        <v>21</v>
      </c>
      <c r="E97">
        <v>6</v>
      </c>
      <c r="F97" s="1">
        <v>45793</v>
      </c>
      <c r="G97" s="1">
        <v>45800</v>
      </c>
      <c r="H97">
        <v>3</v>
      </c>
      <c r="I97">
        <v>6158</v>
      </c>
      <c r="M97">
        <f t="shared" si="2"/>
        <v>7</v>
      </c>
    </row>
    <row r="98" spans="1:13" x14ac:dyDescent="0.35">
      <c r="A98">
        <v>97</v>
      </c>
      <c r="B98" t="s">
        <v>118</v>
      </c>
      <c r="C98">
        <v>60</v>
      </c>
      <c r="D98" t="s">
        <v>25</v>
      </c>
      <c r="E98">
        <v>10</v>
      </c>
      <c r="F98" s="1">
        <v>45766</v>
      </c>
      <c r="G98" s="1">
        <v>45810</v>
      </c>
      <c r="H98">
        <v>1</v>
      </c>
      <c r="I98">
        <v>7098</v>
      </c>
      <c r="M98">
        <f t="shared" si="2"/>
        <v>44</v>
      </c>
    </row>
    <row r="99" spans="1:13" x14ac:dyDescent="0.35">
      <c r="A99">
        <v>98</v>
      </c>
      <c r="B99" t="s">
        <v>119</v>
      </c>
      <c r="C99">
        <v>77</v>
      </c>
      <c r="D99" t="s">
        <v>21</v>
      </c>
      <c r="E99">
        <v>10</v>
      </c>
      <c r="F99" s="1">
        <v>45722</v>
      </c>
      <c r="G99" s="1">
        <v>45724</v>
      </c>
      <c r="H99">
        <v>2</v>
      </c>
      <c r="I99">
        <v>6757</v>
      </c>
      <c r="M99">
        <f t="shared" si="2"/>
        <v>2</v>
      </c>
    </row>
    <row r="100" spans="1:13" x14ac:dyDescent="0.35">
      <c r="A100">
        <v>99</v>
      </c>
      <c r="B100" t="s">
        <v>120</v>
      </c>
      <c r="C100">
        <v>44</v>
      </c>
      <c r="D100" t="s">
        <v>21</v>
      </c>
      <c r="E100">
        <v>6</v>
      </c>
      <c r="F100" s="1">
        <v>45743</v>
      </c>
      <c r="G100" s="1">
        <v>45798</v>
      </c>
      <c r="H100">
        <v>1</v>
      </c>
      <c r="I100">
        <v>4713</v>
      </c>
      <c r="M100">
        <f t="shared" si="2"/>
        <v>55</v>
      </c>
    </row>
    <row r="101" spans="1:13" x14ac:dyDescent="0.35">
      <c r="A101">
        <v>100</v>
      </c>
      <c r="B101" t="s">
        <v>121</v>
      </c>
      <c r="C101">
        <v>37</v>
      </c>
      <c r="D101" t="s">
        <v>21</v>
      </c>
      <c r="E101">
        <v>1</v>
      </c>
      <c r="F101" s="1">
        <v>45802</v>
      </c>
      <c r="G101" s="1">
        <v>45811</v>
      </c>
      <c r="H101">
        <v>3</v>
      </c>
      <c r="I101">
        <v>4203</v>
      </c>
      <c r="M101">
        <f t="shared" si="2"/>
        <v>9</v>
      </c>
    </row>
    <row r="102" spans="1:13" x14ac:dyDescent="0.35">
      <c r="A102">
        <v>101</v>
      </c>
      <c r="B102" t="s">
        <v>122</v>
      </c>
      <c r="C102">
        <v>43</v>
      </c>
      <c r="D102" t="s">
        <v>25</v>
      </c>
      <c r="E102">
        <v>4</v>
      </c>
      <c r="F102" s="1">
        <v>45728</v>
      </c>
      <c r="G102" s="1">
        <v>45798</v>
      </c>
      <c r="H102">
        <v>1</v>
      </c>
      <c r="I102">
        <v>7588</v>
      </c>
      <c r="M102">
        <f t="shared" si="2"/>
        <v>70</v>
      </c>
    </row>
    <row r="103" spans="1:13" x14ac:dyDescent="0.35">
      <c r="A103">
        <v>102</v>
      </c>
      <c r="B103" t="s">
        <v>123</v>
      </c>
      <c r="C103">
        <v>52</v>
      </c>
      <c r="D103" t="s">
        <v>25</v>
      </c>
      <c r="E103">
        <v>10</v>
      </c>
      <c r="F103" s="1">
        <v>45702</v>
      </c>
      <c r="G103" s="1">
        <v>45707</v>
      </c>
      <c r="H103">
        <v>1</v>
      </c>
      <c r="I103">
        <v>5120</v>
      </c>
      <c r="M103">
        <f t="shared" si="2"/>
        <v>5</v>
      </c>
    </row>
    <row r="104" spans="1:13" x14ac:dyDescent="0.35">
      <c r="A104">
        <v>103</v>
      </c>
      <c r="B104" t="s">
        <v>124</v>
      </c>
      <c r="C104">
        <v>89</v>
      </c>
      <c r="D104" t="s">
        <v>21</v>
      </c>
      <c r="E104">
        <v>6</v>
      </c>
      <c r="F104" s="1">
        <v>45789</v>
      </c>
      <c r="G104" s="1">
        <v>45799</v>
      </c>
      <c r="H104">
        <v>2</v>
      </c>
      <c r="I104">
        <v>2966</v>
      </c>
      <c r="M104">
        <f t="shared" si="2"/>
        <v>10</v>
      </c>
    </row>
    <row r="105" spans="1:13" x14ac:dyDescent="0.35">
      <c r="A105">
        <v>104</v>
      </c>
      <c r="B105" t="s">
        <v>125</v>
      </c>
      <c r="C105">
        <v>86</v>
      </c>
      <c r="D105" t="s">
        <v>25</v>
      </c>
      <c r="E105">
        <v>6</v>
      </c>
      <c r="F105" s="1">
        <v>45693</v>
      </c>
      <c r="G105" s="1">
        <v>45821</v>
      </c>
      <c r="H105">
        <v>2</v>
      </c>
      <c r="I105">
        <v>6944</v>
      </c>
      <c r="M105">
        <f t="shared" si="2"/>
        <v>128</v>
      </c>
    </row>
    <row r="106" spans="1:13" x14ac:dyDescent="0.35">
      <c r="A106">
        <v>105</v>
      </c>
      <c r="B106" t="s">
        <v>126</v>
      </c>
      <c r="C106">
        <v>69</v>
      </c>
      <c r="D106" t="s">
        <v>25</v>
      </c>
      <c r="E106">
        <v>5</v>
      </c>
      <c r="F106" s="1">
        <v>45727</v>
      </c>
      <c r="G106" s="1">
        <v>45759</v>
      </c>
      <c r="H106">
        <v>3</v>
      </c>
      <c r="I106">
        <v>7203</v>
      </c>
      <c r="M106">
        <f t="shared" si="2"/>
        <v>32</v>
      </c>
    </row>
    <row r="107" spans="1:13" x14ac:dyDescent="0.35">
      <c r="A107">
        <v>106</v>
      </c>
      <c r="B107" t="s">
        <v>127</v>
      </c>
      <c r="C107">
        <v>50</v>
      </c>
      <c r="D107" t="s">
        <v>25</v>
      </c>
      <c r="E107">
        <v>1</v>
      </c>
      <c r="F107" s="1">
        <v>45816</v>
      </c>
      <c r="G107" s="1">
        <v>45826</v>
      </c>
      <c r="H107">
        <v>1</v>
      </c>
      <c r="I107">
        <v>5432</v>
      </c>
      <c r="M107">
        <f t="shared" si="2"/>
        <v>10</v>
      </c>
    </row>
    <row r="108" spans="1:13" x14ac:dyDescent="0.35">
      <c r="A108">
        <v>107</v>
      </c>
      <c r="B108" t="s">
        <v>128</v>
      </c>
      <c r="C108">
        <v>45</v>
      </c>
      <c r="D108" t="s">
        <v>25</v>
      </c>
      <c r="E108">
        <v>8</v>
      </c>
      <c r="F108" s="1">
        <v>45676</v>
      </c>
      <c r="G108" s="1">
        <v>45844</v>
      </c>
      <c r="H108">
        <v>1</v>
      </c>
      <c r="I108">
        <v>2688</v>
      </c>
      <c r="M108">
        <f t="shared" si="2"/>
        <v>168</v>
      </c>
    </row>
    <row r="109" spans="1:13" x14ac:dyDescent="0.35">
      <c r="A109">
        <v>108</v>
      </c>
      <c r="B109" t="s">
        <v>129</v>
      </c>
      <c r="C109">
        <v>74</v>
      </c>
      <c r="D109" t="s">
        <v>21</v>
      </c>
      <c r="E109">
        <v>5</v>
      </c>
      <c r="F109" s="1">
        <v>45765</v>
      </c>
      <c r="G109" s="1">
        <v>45771</v>
      </c>
      <c r="H109">
        <v>1</v>
      </c>
      <c r="I109">
        <v>6243</v>
      </c>
      <c r="M109">
        <f t="shared" si="2"/>
        <v>6</v>
      </c>
    </row>
    <row r="110" spans="1:13" x14ac:dyDescent="0.35">
      <c r="A110">
        <v>109</v>
      </c>
      <c r="B110" t="s">
        <v>130</v>
      </c>
      <c r="C110">
        <v>47</v>
      </c>
      <c r="D110" t="s">
        <v>21</v>
      </c>
      <c r="E110">
        <v>5</v>
      </c>
      <c r="F110" s="1">
        <v>45824</v>
      </c>
      <c r="G110" s="1">
        <v>45834</v>
      </c>
      <c r="H110">
        <v>3</v>
      </c>
      <c r="I110">
        <v>5701</v>
      </c>
      <c r="M110">
        <f t="shared" si="2"/>
        <v>10</v>
      </c>
    </row>
    <row r="111" spans="1:13" x14ac:dyDescent="0.35">
      <c r="A111">
        <v>110</v>
      </c>
      <c r="B111" t="s">
        <v>131</v>
      </c>
      <c r="C111">
        <v>76</v>
      </c>
      <c r="D111" t="s">
        <v>25</v>
      </c>
      <c r="E111">
        <v>7</v>
      </c>
      <c r="F111" s="1">
        <v>45748</v>
      </c>
      <c r="G111" s="1">
        <v>45752</v>
      </c>
      <c r="H111">
        <v>3</v>
      </c>
      <c r="I111">
        <v>2341</v>
      </c>
      <c r="M111">
        <f t="shared" si="2"/>
        <v>4</v>
      </c>
    </row>
    <row r="112" spans="1:13" x14ac:dyDescent="0.35">
      <c r="A112">
        <v>111</v>
      </c>
      <c r="B112" t="s">
        <v>132</v>
      </c>
      <c r="C112">
        <v>82</v>
      </c>
      <c r="D112" t="s">
        <v>25</v>
      </c>
      <c r="E112">
        <v>4</v>
      </c>
      <c r="F112" s="1">
        <v>45747</v>
      </c>
      <c r="G112" s="1">
        <v>45813</v>
      </c>
      <c r="H112">
        <v>2</v>
      </c>
      <c r="I112">
        <v>8619</v>
      </c>
      <c r="M112">
        <f t="shared" si="2"/>
        <v>66</v>
      </c>
    </row>
    <row r="113" spans="1:13" x14ac:dyDescent="0.35">
      <c r="A113">
        <v>112</v>
      </c>
      <c r="B113" t="s">
        <v>133</v>
      </c>
      <c r="C113">
        <v>53</v>
      </c>
      <c r="D113" t="s">
        <v>21</v>
      </c>
      <c r="E113">
        <v>6</v>
      </c>
      <c r="F113" s="1">
        <v>45676</v>
      </c>
      <c r="G113" s="1">
        <v>45687</v>
      </c>
      <c r="H113">
        <v>2</v>
      </c>
      <c r="I113">
        <v>7182</v>
      </c>
      <c r="M113">
        <f t="shared" si="2"/>
        <v>11</v>
      </c>
    </row>
    <row r="114" spans="1:13" x14ac:dyDescent="0.35">
      <c r="A114">
        <v>113</v>
      </c>
      <c r="B114" t="s">
        <v>134</v>
      </c>
      <c r="C114">
        <v>55</v>
      </c>
      <c r="D114" t="s">
        <v>21</v>
      </c>
      <c r="E114">
        <v>4</v>
      </c>
      <c r="F114" s="1">
        <v>45696</v>
      </c>
      <c r="G114" s="1">
        <v>45698</v>
      </c>
      <c r="H114">
        <v>2</v>
      </c>
      <c r="I114">
        <v>3724</v>
      </c>
      <c r="M114">
        <f t="shared" si="2"/>
        <v>2</v>
      </c>
    </row>
    <row r="115" spans="1:13" x14ac:dyDescent="0.35">
      <c r="A115">
        <v>114</v>
      </c>
      <c r="B115" t="s">
        <v>135</v>
      </c>
      <c r="C115">
        <v>54</v>
      </c>
      <c r="D115" t="s">
        <v>25</v>
      </c>
      <c r="E115">
        <v>3</v>
      </c>
      <c r="F115" s="1">
        <v>45783</v>
      </c>
      <c r="G115" s="1">
        <v>45784</v>
      </c>
      <c r="H115">
        <v>1</v>
      </c>
      <c r="I115">
        <v>7479</v>
      </c>
      <c r="M115">
        <f t="shared" si="2"/>
        <v>1</v>
      </c>
    </row>
    <row r="116" spans="1:13" x14ac:dyDescent="0.35">
      <c r="A116">
        <v>115</v>
      </c>
      <c r="B116" t="s">
        <v>136</v>
      </c>
      <c r="C116">
        <v>89</v>
      </c>
      <c r="D116" t="s">
        <v>21</v>
      </c>
      <c r="E116">
        <v>7</v>
      </c>
      <c r="F116" s="1">
        <v>45830</v>
      </c>
      <c r="G116" s="1">
        <v>45836</v>
      </c>
      <c r="H116">
        <v>1</v>
      </c>
      <c r="I116">
        <v>8704</v>
      </c>
      <c r="M116">
        <f t="shared" si="2"/>
        <v>6</v>
      </c>
    </row>
    <row r="117" spans="1:13" x14ac:dyDescent="0.35">
      <c r="A117">
        <v>116</v>
      </c>
      <c r="B117" t="s">
        <v>137</v>
      </c>
      <c r="C117">
        <v>89</v>
      </c>
      <c r="D117" t="s">
        <v>25</v>
      </c>
      <c r="E117">
        <v>8</v>
      </c>
      <c r="F117" s="1">
        <v>45798</v>
      </c>
      <c r="G117" s="1">
        <v>45802</v>
      </c>
      <c r="H117">
        <v>2</v>
      </c>
      <c r="I117">
        <v>6422</v>
      </c>
      <c r="M117">
        <f t="shared" si="2"/>
        <v>4</v>
      </c>
    </row>
    <row r="118" spans="1:13" x14ac:dyDescent="0.35">
      <c r="A118">
        <v>117</v>
      </c>
      <c r="B118" t="s">
        <v>138</v>
      </c>
      <c r="C118">
        <v>89</v>
      </c>
      <c r="D118" t="s">
        <v>25</v>
      </c>
      <c r="E118">
        <v>4</v>
      </c>
      <c r="F118" s="1">
        <v>45783</v>
      </c>
      <c r="G118" s="1">
        <v>45788</v>
      </c>
      <c r="H118">
        <v>1</v>
      </c>
      <c r="I118">
        <v>3792</v>
      </c>
      <c r="M118">
        <f t="shared" si="2"/>
        <v>5</v>
      </c>
    </row>
    <row r="119" spans="1:13" x14ac:dyDescent="0.35">
      <c r="A119">
        <v>118</v>
      </c>
      <c r="B119" t="s">
        <v>139</v>
      </c>
      <c r="C119">
        <v>74</v>
      </c>
      <c r="D119" t="s">
        <v>21</v>
      </c>
      <c r="E119">
        <v>2</v>
      </c>
      <c r="F119" s="1">
        <v>45715</v>
      </c>
      <c r="G119" s="1">
        <v>45815</v>
      </c>
      <c r="H119">
        <v>2</v>
      </c>
      <c r="I119">
        <v>3759</v>
      </c>
      <c r="M119">
        <f t="shared" si="2"/>
        <v>100</v>
      </c>
    </row>
    <row r="120" spans="1:13" x14ac:dyDescent="0.35">
      <c r="A120">
        <v>119</v>
      </c>
      <c r="B120" t="s">
        <v>140</v>
      </c>
      <c r="C120">
        <v>70</v>
      </c>
      <c r="D120" t="s">
        <v>21</v>
      </c>
      <c r="E120">
        <v>10</v>
      </c>
      <c r="F120" s="1">
        <v>45805</v>
      </c>
      <c r="G120" s="1">
        <v>45807</v>
      </c>
      <c r="H120">
        <v>3</v>
      </c>
      <c r="I120">
        <v>5212</v>
      </c>
      <c r="M120">
        <f t="shared" si="2"/>
        <v>2</v>
      </c>
    </row>
    <row r="121" spans="1:13" x14ac:dyDescent="0.35">
      <c r="A121">
        <v>120</v>
      </c>
      <c r="B121" t="s">
        <v>141</v>
      </c>
      <c r="C121">
        <v>58</v>
      </c>
      <c r="D121" t="s">
        <v>25</v>
      </c>
      <c r="E121">
        <v>3</v>
      </c>
      <c r="F121" s="1">
        <v>45718</v>
      </c>
      <c r="G121" s="1">
        <v>45722</v>
      </c>
      <c r="H121">
        <v>2</v>
      </c>
      <c r="I121">
        <v>2989</v>
      </c>
    </row>
    <row r="122" spans="1:13" x14ac:dyDescent="0.35">
      <c r="A122">
        <v>121</v>
      </c>
      <c r="B122" t="s">
        <v>142</v>
      </c>
      <c r="C122">
        <v>44</v>
      </c>
      <c r="D122" t="s">
        <v>25</v>
      </c>
      <c r="E122">
        <v>1</v>
      </c>
      <c r="F122" s="1">
        <v>45784</v>
      </c>
      <c r="G122" s="1">
        <v>45799</v>
      </c>
      <c r="H122">
        <v>3</v>
      </c>
      <c r="I122">
        <v>4262</v>
      </c>
    </row>
    <row r="123" spans="1:13" x14ac:dyDescent="0.35">
      <c r="A123">
        <v>122</v>
      </c>
      <c r="B123" t="s">
        <v>143</v>
      </c>
      <c r="C123">
        <v>74</v>
      </c>
      <c r="D123" t="s">
        <v>21</v>
      </c>
      <c r="E123">
        <v>8</v>
      </c>
      <c r="F123" s="1">
        <v>45762</v>
      </c>
      <c r="G123" s="1">
        <v>45764</v>
      </c>
      <c r="H123">
        <v>1</v>
      </c>
      <c r="I123">
        <v>4482</v>
      </c>
    </row>
    <row r="124" spans="1:13" x14ac:dyDescent="0.35">
      <c r="A124">
        <v>123</v>
      </c>
      <c r="B124" t="s">
        <v>144</v>
      </c>
      <c r="C124">
        <v>30</v>
      </c>
      <c r="D124" t="s">
        <v>25</v>
      </c>
      <c r="E124">
        <v>3</v>
      </c>
      <c r="F124" s="1">
        <v>45824</v>
      </c>
      <c r="G124" s="1">
        <v>45831</v>
      </c>
      <c r="H124">
        <v>2</v>
      </c>
      <c r="I124">
        <v>2951</v>
      </c>
    </row>
    <row r="125" spans="1:13" x14ac:dyDescent="0.35">
      <c r="A125">
        <v>124</v>
      </c>
      <c r="B125" t="s">
        <v>145</v>
      </c>
      <c r="C125">
        <v>54</v>
      </c>
      <c r="D125" t="s">
        <v>21</v>
      </c>
      <c r="E125">
        <v>10</v>
      </c>
      <c r="F125" s="1">
        <v>45658</v>
      </c>
      <c r="G125" s="1">
        <v>45712</v>
      </c>
      <c r="H125">
        <v>1</v>
      </c>
      <c r="I125">
        <v>2722</v>
      </c>
    </row>
    <row r="126" spans="1:13" x14ac:dyDescent="0.35">
      <c r="A126">
        <v>125</v>
      </c>
      <c r="B126" t="s">
        <v>146</v>
      </c>
      <c r="C126">
        <v>36</v>
      </c>
      <c r="D126" t="s">
        <v>25</v>
      </c>
      <c r="E126">
        <v>7</v>
      </c>
      <c r="F126" s="1">
        <v>45788</v>
      </c>
      <c r="G126" s="1">
        <v>45793</v>
      </c>
      <c r="H126">
        <v>3</v>
      </c>
      <c r="I126">
        <v>5389</v>
      </c>
    </row>
    <row r="127" spans="1:13" x14ac:dyDescent="0.35">
      <c r="A127">
        <v>126</v>
      </c>
      <c r="B127" t="s">
        <v>147</v>
      </c>
      <c r="C127">
        <v>38</v>
      </c>
      <c r="D127" t="s">
        <v>21</v>
      </c>
      <c r="E127">
        <v>10</v>
      </c>
      <c r="F127" s="1">
        <v>45749</v>
      </c>
      <c r="G127" s="1">
        <v>45843</v>
      </c>
      <c r="H127">
        <v>3</v>
      </c>
      <c r="I127">
        <v>4079</v>
      </c>
    </row>
    <row r="128" spans="1:13" x14ac:dyDescent="0.35">
      <c r="A128">
        <v>127</v>
      </c>
      <c r="B128" t="s">
        <v>148</v>
      </c>
      <c r="C128">
        <v>53</v>
      </c>
      <c r="D128" t="s">
        <v>21</v>
      </c>
      <c r="E128">
        <v>5</v>
      </c>
      <c r="F128" s="1">
        <v>45770</v>
      </c>
      <c r="G128" s="1">
        <v>45778</v>
      </c>
      <c r="H128">
        <v>3</v>
      </c>
      <c r="I128">
        <v>4717</v>
      </c>
    </row>
    <row r="129" spans="1:9" x14ac:dyDescent="0.35">
      <c r="A129">
        <v>128</v>
      </c>
      <c r="B129" t="s">
        <v>149</v>
      </c>
      <c r="C129">
        <v>30</v>
      </c>
      <c r="D129" t="s">
        <v>21</v>
      </c>
      <c r="E129">
        <v>10</v>
      </c>
      <c r="F129" s="1">
        <v>45810</v>
      </c>
      <c r="G129" s="1">
        <v>45816</v>
      </c>
      <c r="H129">
        <v>1</v>
      </c>
      <c r="I129">
        <v>4332</v>
      </c>
    </row>
    <row r="130" spans="1:9" x14ac:dyDescent="0.35">
      <c r="A130">
        <v>129</v>
      </c>
      <c r="B130" t="s">
        <v>150</v>
      </c>
      <c r="C130">
        <v>73</v>
      </c>
      <c r="D130" t="s">
        <v>25</v>
      </c>
      <c r="E130">
        <v>5</v>
      </c>
      <c r="F130" s="1">
        <v>45713</v>
      </c>
      <c r="G130" s="1">
        <v>45821</v>
      </c>
      <c r="H130">
        <v>1</v>
      </c>
      <c r="I130">
        <v>5376</v>
      </c>
    </row>
    <row r="131" spans="1:9" x14ac:dyDescent="0.35">
      <c r="A131">
        <v>130</v>
      </c>
      <c r="B131" t="s">
        <v>151</v>
      </c>
      <c r="C131">
        <v>37</v>
      </c>
      <c r="D131" t="s">
        <v>25</v>
      </c>
      <c r="E131">
        <v>7</v>
      </c>
      <c r="F131" s="1">
        <v>45818</v>
      </c>
      <c r="G131" s="1">
        <v>45821</v>
      </c>
      <c r="H131">
        <v>1</v>
      </c>
      <c r="I131">
        <v>6524</v>
      </c>
    </row>
    <row r="132" spans="1:9" x14ac:dyDescent="0.35">
      <c r="A132">
        <v>131</v>
      </c>
      <c r="B132" t="s">
        <v>152</v>
      </c>
      <c r="C132">
        <v>53</v>
      </c>
      <c r="D132" t="s">
        <v>21</v>
      </c>
      <c r="E132">
        <v>9</v>
      </c>
      <c r="F132" s="1">
        <v>45823</v>
      </c>
      <c r="G132" s="1">
        <v>45829</v>
      </c>
      <c r="H132">
        <v>1</v>
      </c>
      <c r="I132">
        <v>3500</v>
      </c>
    </row>
    <row r="133" spans="1:9" x14ac:dyDescent="0.35">
      <c r="A133">
        <v>132</v>
      </c>
      <c r="B133" t="s">
        <v>153</v>
      </c>
      <c r="C133">
        <v>40</v>
      </c>
      <c r="D133" t="s">
        <v>25</v>
      </c>
      <c r="E133">
        <v>5</v>
      </c>
      <c r="F133" s="1">
        <v>45774</v>
      </c>
      <c r="G133" s="1">
        <v>45780</v>
      </c>
      <c r="H133">
        <v>3</v>
      </c>
      <c r="I133">
        <v>2285</v>
      </c>
    </row>
    <row r="134" spans="1:9" x14ac:dyDescent="0.35">
      <c r="A134">
        <v>133</v>
      </c>
      <c r="B134" t="s">
        <v>154</v>
      </c>
      <c r="C134">
        <v>80</v>
      </c>
      <c r="D134" t="s">
        <v>21</v>
      </c>
      <c r="E134">
        <v>1</v>
      </c>
      <c r="F134" s="1">
        <v>45791</v>
      </c>
      <c r="G134" s="1">
        <v>45795</v>
      </c>
      <c r="H134">
        <v>3</v>
      </c>
      <c r="I134">
        <v>9311</v>
      </c>
    </row>
    <row r="135" spans="1:9" x14ac:dyDescent="0.35">
      <c r="A135">
        <v>134</v>
      </c>
      <c r="B135" t="s">
        <v>155</v>
      </c>
      <c r="C135">
        <v>46</v>
      </c>
      <c r="D135" t="s">
        <v>21</v>
      </c>
      <c r="E135">
        <v>10</v>
      </c>
      <c r="F135" s="1">
        <v>45715</v>
      </c>
      <c r="G135" s="1">
        <v>45722</v>
      </c>
      <c r="H135">
        <v>2</v>
      </c>
      <c r="I135">
        <v>5495</v>
      </c>
    </row>
    <row r="136" spans="1:9" x14ac:dyDescent="0.35">
      <c r="A136">
        <v>135</v>
      </c>
      <c r="B136" t="s">
        <v>156</v>
      </c>
      <c r="C136">
        <v>37</v>
      </c>
      <c r="D136" t="s">
        <v>25</v>
      </c>
      <c r="E136">
        <v>10</v>
      </c>
      <c r="F136" s="1">
        <v>45701</v>
      </c>
      <c r="G136" s="1">
        <v>45760</v>
      </c>
      <c r="H136">
        <v>2</v>
      </c>
      <c r="I136">
        <v>9186</v>
      </c>
    </row>
    <row r="137" spans="1:9" x14ac:dyDescent="0.35">
      <c r="A137">
        <v>136</v>
      </c>
      <c r="B137" t="s">
        <v>157</v>
      </c>
      <c r="C137">
        <v>64</v>
      </c>
      <c r="D137" t="s">
        <v>25</v>
      </c>
      <c r="E137">
        <v>1</v>
      </c>
      <c r="F137" s="1">
        <v>45830</v>
      </c>
      <c r="G137" s="1">
        <v>45835</v>
      </c>
      <c r="H137">
        <v>1</v>
      </c>
      <c r="I137">
        <v>4065</v>
      </c>
    </row>
    <row r="138" spans="1:9" x14ac:dyDescent="0.35">
      <c r="A138">
        <v>137</v>
      </c>
      <c r="B138" t="s">
        <v>158</v>
      </c>
      <c r="C138">
        <v>64</v>
      </c>
      <c r="D138" t="s">
        <v>21</v>
      </c>
      <c r="E138">
        <v>2</v>
      </c>
      <c r="F138" s="1">
        <v>45817</v>
      </c>
      <c r="G138" s="1">
        <v>45819</v>
      </c>
      <c r="H138">
        <v>3</v>
      </c>
      <c r="I138">
        <v>2768</v>
      </c>
    </row>
    <row r="139" spans="1:9" x14ac:dyDescent="0.35">
      <c r="A139">
        <v>138</v>
      </c>
      <c r="B139" t="s">
        <v>159</v>
      </c>
      <c r="C139">
        <v>62</v>
      </c>
      <c r="D139" t="s">
        <v>25</v>
      </c>
      <c r="E139">
        <v>6</v>
      </c>
      <c r="F139" s="1">
        <v>45830</v>
      </c>
      <c r="G139" s="1">
        <v>45840</v>
      </c>
      <c r="H139">
        <v>3</v>
      </c>
      <c r="I139">
        <v>8733</v>
      </c>
    </row>
    <row r="140" spans="1:9" x14ac:dyDescent="0.35">
      <c r="A140">
        <v>139</v>
      </c>
      <c r="B140" t="s">
        <v>160</v>
      </c>
      <c r="C140">
        <v>88</v>
      </c>
      <c r="D140" t="s">
        <v>25</v>
      </c>
      <c r="E140">
        <v>9</v>
      </c>
      <c r="F140" s="1">
        <v>45718</v>
      </c>
      <c r="G140" s="1">
        <v>45727</v>
      </c>
      <c r="H140">
        <v>3</v>
      </c>
      <c r="I140">
        <v>7490</v>
      </c>
    </row>
    <row r="141" spans="1:9" x14ac:dyDescent="0.35">
      <c r="A141">
        <v>140</v>
      </c>
      <c r="B141" t="s">
        <v>161</v>
      </c>
      <c r="C141">
        <v>34</v>
      </c>
      <c r="D141" t="s">
        <v>21</v>
      </c>
      <c r="E141">
        <v>8</v>
      </c>
      <c r="F141" s="1">
        <v>45704</v>
      </c>
      <c r="G141" s="1">
        <v>45747</v>
      </c>
      <c r="H141">
        <v>2</v>
      </c>
      <c r="I141">
        <v>9342</v>
      </c>
    </row>
    <row r="142" spans="1:9" x14ac:dyDescent="0.35">
      <c r="A142">
        <v>141</v>
      </c>
      <c r="B142" t="s">
        <v>162</v>
      </c>
      <c r="C142">
        <v>71</v>
      </c>
      <c r="D142" t="s">
        <v>21</v>
      </c>
      <c r="E142">
        <v>5</v>
      </c>
      <c r="F142" s="1">
        <v>45806</v>
      </c>
      <c r="G142" s="1">
        <v>45809</v>
      </c>
      <c r="H142">
        <v>2</v>
      </c>
      <c r="I142">
        <v>5057</v>
      </c>
    </row>
    <row r="143" spans="1:9" x14ac:dyDescent="0.35">
      <c r="A143">
        <v>142</v>
      </c>
      <c r="B143" t="s">
        <v>163</v>
      </c>
      <c r="C143">
        <v>68</v>
      </c>
      <c r="D143" t="s">
        <v>25</v>
      </c>
      <c r="E143">
        <v>1</v>
      </c>
      <c r="F143" s="1">
        <v>45737</v>
      </c>
      <c r="G143" s="1">
        <v>45746</v>
      </c>
      <c r="H143">
        <v>3</v>
      </c>
      <c r="I143">
        <v>6289</v>
      </c>
    </row>
    <row r="144" spans="1:9" x14ac:dyDescent="0.35">
      <c r="A144">
        <v>143</v>
      </c>
      <c r="B144" t="s">
        <v>164</v>
      </c>
      <c r="C144">
        <v>87</v>
      </c>
      <c r="D144" t="s">
        <v>21</v>
      </c>
      <c r="E144">
        <v>7</v>
      </c>
      <c r="F144" s="1">
        <v>45775</v>
      </c>
      <c r="G144" s="1">
        <v>45779</v>
      </c>
      <c r="H144">
        <v>3</v>
      </c>
      <c r="I144">
        <v>8645</v>
      </c>
    </row>
    <row r="145" spans="1:9" x14ac:dyDescent="0.35">
      <c r="A145">
        <v>144</v>
      </c>
      <c r="B145" t="s">
        <v>165</v>
      </c>
      <c r="C145">
        <v>70</v>
      </c>
      <c r="D145" t="s">
        <v>21</v>
      </c>
      <c r="E145">
        <v>5</v>
      </c>
      <c r="F145" s="1">
        <v>45821</v>
      </c>
      <c r="G145" s="1">
        <v>45824</v>
      </c>
      <c r="H145">
        <v>3</v>
      </c>
      <c r="I145">
        <v>7083</v>
      </c>
    </row>
    <row r="146" spans="1:9" x14ac:dyDescent="0.35">
      <c r="A146">
        <v>145</v>
      </c>
      <c r="B146" t="s">
        <v>166</v>
      </c>
      <c r="C146">
        <v>57</v>
      </c>
      <c r="D146" t="s">
        <v>25</v>
      </c>
      <c r="E146">
        <v>6</v>
      </c>
      <c r="F146" s="1">
        <v>45804</v>
      </c>
      <c r="G146" s="1">
        <v>45812</v>
      </c>
      <c r="H146">
        <v>2</v>
      </c>
      <c r="I146">
        <v>7232</v>
      </c>
    </row>
    <row r="147" spans="1:9" x14ac:dyDescent="0.35">
      <c r="A147">
        <v>146</v>
      </c>
      <c r="B147" t="s">
        <v>167</v>
      </c>
      <c r="C147">
        <v>36</v>
      </c>
      <c r="D147" t="s">
        <v>21</v>
      </c>
      <c r="E147">
        <v>7</v>
      </c>
      <c r="F147" s="1">
        <v>45677</v>
      </c>
      <c r="G147" s="1">
        <v>45765</v>
      </c>
      <c r="H147">
        <v>3</v>
      </c>
      <c r="I147">
        <v>4161</v>
      </c>
    </row>
    <row r="148" spans="1:9" x14ac:dyDescent="0.35">
      <c r="A148">
        <v>147</v>
      </c>
      <c r="B148" t="s">
        <v>168</v>
      </c>
      <c r="C148">
        <v>38</v>
      </c>
      <c r="D148" t="s">
        <v>21</v>
      </c>
      <c r="E148">
        <v>3</v>
      </c>
      <c r="F148" s="1">
        <v>45803</v>
      </c>
      <c r="G148" s="1">
        <v>45846</v>
      </c>
      <c r="H148">
        <v>3</v>
      </c>
      <c r="I148">
        <v>5293</v>
      </c>
    </row>
    <row r="149" spans="1:9" x14ac:dyDescent="0.35">
      <c r="A149">
        <v>148</v>
      </c>
      <c r="B149" t="s">
        <v>169</v>
      </c>
      <c r="C149">
        <v>37</v>
      </c>
      <c r="D149" t="s">
        <v>25</v>
      </c>
      <c r="E149">
        <v>10</v>
      </c>
      <c r="F149" s="1">
        <v>45704</v>
      </c>
      <c r="G149" s="1">
        <v>45713</v>
      </c>
      <c r="H149">
        <v>1</v>
      </c>
      <c r="I149">
        <v>7797</v>
      </c>
    </row>
    <row r="150" spans="1:9" x14ac:dyDescent="0.35">
      <c r="A150">
        <v>149</v>
      </c>
      <c r="B150" t="s">
        <v>170</v>
      </c>
      <c r="C150">
        <v>41</v>
      </c>
      <c r="D150" t="s">
        <v>25</v>
      </c>
      <c r="E150">
        <v>3</v>
      </c>
      <c r="F150" s="1">
        <v>45706</v>
      </c>
      <c r="G150" s="1">
        <v>45793</v>
      </c>
      <c r="H150">
        <v>1</v>
      </c>
      <c r="I150">
        <v>2946</v>
      </c>
    </row>
    <row r="151" spans="1:9" x14ac:dyDescent="0.35">
      <c r="A151">
        <v>150</v>
      </c>
      <c r="B151" t="s">
        <v>171</v>
      </c>
      <c r="C151">
        <v>63</v>
      </c>
      <c r="D151" t="s">
        <v>21</v>
      </c>
      <c r="E151">
        <v>5</v>
      </c>
      <c r="F151" s="1">
        <v>45671</v>
      </c>
      <c r="G151" s="1">
        <v>45722</v>
      </c>
      <c r="H151">
        <v>2</v>
      </c>
      <c r="I151">
        <v>6926</v>
      </c>
    </row>
    <row r="152" spans="1:9" x14ac:dyDescent="0.35">
      <c r="A152">
        <v>151</v>
      </c>
      <c r="B152" t="s">
        <v>172</v>
      </c>
      <c r="C152">
        <v>62</v>
      </c>
      <c r="D152" t="s">
        <v>21</v>
      </c>
      <c r="E152">
        <v>6</v>
      </c>
      <c r="F152" s="1">
        <v>45800</v>
      </c>
      <c r="G152" s="1">
        <v>45807</v>
      </c>
      <c r="H152">
        <v>3</v>
      </c>
      <c r="I152">
        <v>9811</v>
      </c>
    </row>
    <row r="153" spans="1:9" x14ac:dyDescent="0.35">
      <c r="A153">
        <v>152</v>
      </c>
      <c r="B153" t="s">
        <v>173</v>
      </c>
      <c r="C153">
        <v>77</v>
      </c>
      <c r="D153" t="s">
        <v>25</v>
      </c>
      <c r="E153">
        <v>9</v>
      </c>
      <c r="F153" s="1">
        <v>45816</v>
      </c>
      <c r="G153" s="1">
        <v>45821</v>
      </c>
      <c r="H153">
        <v>3</v>
      </c>
      <c r="I153">
        <v>8016</v>
      </c>
    </row>
    <row r="154" spans="1:9" x14ac:dyDescent="0.35">
      <c r="A154">
        <v>153</v>
      </c>
      <c r="B154" t="s">
        <v>174</v>
      </c>
      <c r="C154">
        <v>84</v>
      </c>
      <c r="D154" t="s">
        <v>25</v>
      </c>
      <c r="E154">
        <v>5</v>
      </c>
      <c r="F154" s="1">
        <v>45658</v>
      </c>
      <c r="G154" s="1">
        <v>45744</v>
      </c>
      <c r="H154">
        <v>1</v>
      </c>
      <c r="I154">
        <v>5335</v>
      </c>
    </row>
    <row r="155" spans="1:9" x14ac:dyDescent="0.35">
      <c r="A155">
        <v>154</v>
      </c>
      <c r="B155" t="s">
        <v>175</v>
      </c>
      <c r="C155">
        <v>52</v>
      </c>
      <c r="D155" t="s">
        <v>25</v>
      </c>
      <c r="E155">
        <v>1</v>
      </c>
      <c r="F155" s="1">
        <v>45774</v>
      </c>
      <c r="G155" s="1">
        <v>45796</v>
      </c>
      <c r="H155">
        <v>2</v>
      </c>
      <c r="I155">
        <v>9068</v>
      </c>
    </row>
    <row r="156" spans="1:9" x14ac:dyDescent="0.35">
      <c r="A156">
        <v>155</v>
      </c>
      <c r="B156" t="s">
        <v>176</v>
      </c>
      <c r="C156">
        <v>53</v>
      </c>
      <c r="D156" t="s">
        <v>25</v>
      </c>
      <c r="E156">
        <v>4</v>
      </c>
      <c r="F156" s="1">
        <v>45711</v>
      </c>
      <c r="G156" s="1">
        <v>45775</v>
      </c>
      <c r="H156">
        <v>1</v>
      </c>
      <c r="I156">
        <v>6150</v>
      </c>
    </row>
    <row r="157" spans="1:9" x14ac:dyDescent="0.35">
      <c r="A157">
        <v>156</v>
      </c>
      <c r="B157" t="s">
        <v>177</v>
      </c>
      <c r="C157">
        <v>66</v>
      </c>
      <c r="D157" t="s">
        <v>21</v>
      </c>
      <c r="E157">
        <v>5</v>
      </c>
      <c r="F157" s="1">
        <v>45775</v>
      </c>
      <c r="G157" s="1">
        <v>45820</v>
      </c>
      <c r="H157">
        <v>1</v>
      </c>
      <c r="I157">
        <v>9810</v>
      </c>
    </row>
    <row r="158" spans="1:9" x14ac:dyDescent="0.35">
      <c r="A158">
        <v>157</v>
      </c>
      <c r="B158" t="s">
        <v>178</v>
      </c>
      <c r="C158">
        <v>64</v>
      </c>
      <c r="D158" t="s">
        <v>25</v>
      </c>
      <c r="E158">
        <v>10</v>
      </c>
      <c r="F158" s="1">
        <v>45660</v>
      </c>
      <c r="G158" s="1">
        <v>45680</v>
      </c>
      <c r="H158">
        <v>1</v>
      </c>
      <c r="I158">
        <v>6895</v>
      </c>
    </row>
    <row r="159" spans="1:9" x14ac:dyDescent="0.35">
      <c r="A159">
        <v>158</v>
      </c>
      <c r="B159" t="s">
        <v>179</v>
      </c>
      <c r="C159">
        <v>73</v>
      </c>
      <c r="D159" t="s">
        <v>25</v>
      </c>
      <c r="E159">
        <v>10</v>
      </c>
      <c r="F159" s="1">
        <v>45801</v>
      </c>
      <c r="G159" s="1">
        <v>45810</v>
      </c>
      <c r="H159">
        <v>1</v>
      </c>
      <c r="I159">
        <v>6873</v>
      </c>
    </row>
    <row r="160" spans="1:9" x14ac:dyDescent="0.35">
      <c r="A160">
        <v>159</v>
      </c>
      <c r="B160" t="s">
        <v>180</v>
      </c>
      <c r="C160">
        <v>69</v>
      </c>
      <c r="D160" t="s">
        <v>21</v>
      </c>
      <c r="E160">
        <v>5</v>
      </c>
      <c r="F160" s="1">
        <v>45669</v>
      </c>
      <c r="G160" s="1">
        <v>45781</v>
      </c>
      <c r="H160">
        <v>3</v>
      </c>
      <c r="I160">
        <v>3481</v>
      </c>
    </row>
    <row r="161" spans="1:9" x14ac:dyDescent="0.35">
      <c r="A161">
        <v>160</v>
      </c>
      <c r="B161" t="s">
        <v>181</v>
      </c>
      <c r="C161">
        <v>51</v>
      </c>
      <c r="D161" t="s">
        <v>25</v>
      </c>
      <c r="E161">
        <v>7</v>
      </c>
      <c r="F161" s="1">
        <v>45731</v>
      </c>
      <c r="G161" s="1">
        <v>45735</v>
      </c>
      <c r="H161">
        <v>3</v>
      </c>
      <c r="I161">
        <v>3901</v>
      </c>
    </row>
    <row r="162" spans="1:9" x14ac:dyDescent="0.35">
      <c r="A162">
        <v>161</v>
      </c>
      <c r="B162" t="s">
        <v>182</v>
      </c>
      <c r="C162">
        <v>56</v>
      </c>
      <c r="D162" t="s">
        <v>21</v>
      </c>
      <c r="E162">
        <v>4</v>
      </c>
      <c r="F162" s="1">
        <v>45673</v>
      </c>
      <c r="G162" s="1">
        <v>45679</v>
      </c>
      <c r="H162">
        <v>1</v>
      </c>
      <c r="I162">
        <v>8305</v>
      </c>
    </row>
    <row r="163" spans="1:9" x14ac:dyDescent="0.35">
      <c r="A163">
        <v>162</v>
      </c>
      <c r="B163" t="s">
        <v>183</v>
      </c>
      <c r="C163">
        <v>64</v>
      </c>
      <c r="D163" t="s">
        <v>25</v>
      </c>
      <c r="E163">
        <v>1</v>
      </c>
      <c r="F163" s="1">
        <v>45759</v>
      </c>
      <c r="G163" s="1">
        <v>45777</v>
      </c>
      <c r="H163">
        <v>2</v>
      </c>
      <c r="I163">
        <v>5451</v>
      </c>
    </row>
    <row r="164" spans="1:9" x14ac:dyDescent="0.35">
      <c r="A164">
        <v>163</v>
      </c>
      <c r="B164" t="s">
        <v>184</v>
      </c>
      <c r="C164">
        <v>30</v>
      </c>
      <c r="D164" t="s">
        <v>25</v>
      </c>
      <c r="E164">
        <v>5</v>
      </c>
      <c r="F164" s="1">
        <v>45809</v>
      </c>
      <c r="G164" s="1">
        <v>45817</v>
      </c>
      <c r="H164">
        <v>2</v>
      </c>
      <c r="I164">
        <v>6064</v>
      </c>
    </row>
    <row r="165" spans="1:9" x14ac:dyDescent="0.35">
      <c r="A165">
        <v>164</v>
      </c>
      <c r="B165" t="s">
        <v>185</v>
      </c>
      <c r="C165">
        <v>64</v>
      </c>
      <c r="D165" t="s">
        <v>25</v>
      </c>
      <c r="E165">
        <v>7</v>
      </c>
      <c r="F165" s="1">
        <v>45813</v>
      </c>
      <c r="G165" s="1">
        <v>45814</v>
      </c>
      <c r="H165">
        <v>2</v>
      </c>
      <c r="I165">
        <v>8230</v>
      </c>
    </row>
    <row r="166" spans="1:9" x14ac:dyDescent="0.35">
      <c r="A166">
        <v>165</v>
      </c>
      <c r="B166" t="s">
        <v>186</v>
      </c>
      <c r="C166">
        <v>66</v>
      </c>
      <c r="D166" t="s">
        <v>21</v>
      </c>
      <c r="E166">
        <v>10</v>
      </c>
      <c r="F166" s="1">
        <v>45774</v>
      </c>
      <c r="G166" s="1">
        <v>45778</v>
      </c>
      <c r="H166">
        <v>2</v>
      </c>
      <c r="I166">
        <v>2054</v>
      </c>
    </row>
    <row r="167" spans="1:9" x14ac:dyDescent="0.35">
      <c r="A167">
        <v>166</v>
      </c>
      <c r="B167" t="s">
        <v>187</v>
      </c>
      <c r="C167">
        <v>76</v>
      </c>
      <c r="D167" t="s">
        <v>21</v>
      </c>
      <c r="E167">
        <v>10</v>
      </c>
      <c r="F167" s="1">
        <v>45665</v>
      </c>
      <c r="G167" s="1">
        <v>45704</v>
      </c>
      <c r="H167">
        <v>1</v>
      </c>
      <c r="I167">
        <v>9643</v>
      </c>
    </row>
    <row r="168" spans="1:9" x14ac:dyDescent="0.35">
      <c r="A168">
        <v>167</v>
      </c>
      <c r="B168" t="s">
        <v>188</v>
      </c>
      <c r="C168">
        <v>43</v>
      </c>
      <c r="D168" t="s">
        <v>25</v>
      </c>
      <c r="E168">
        <v>6</v>
      </c>
      <c r="F168" s="1">
        <v>45779</v>
      </c>
      <c r="G168" s="1">
        <v>45781</v>
      </c>
      <c r="H168">
        <v>3</v>
      </c>
      <c r="I168">
        <v>3823</v>
      </c>
    </row>
    <row r="169" spans="1:9" x14ac:dyDescent="0.35">
      <c r="A169">
        <v>168</v>
      </c>
      <c r="B169" t="s">
        <v>189</v>
      </c>
      <c r="C169">
        <v>32</v>
      </c>
      <c r="D169" t="s">
        <v>21</v>
      </c>
      <c r="E169">
        <v>5</v>
      </c>
      <c r="F169" s="1">
        <v>45749</v>
      </c>
      <c r="G169" s="1">
        <v>45750</v>
      </c>
      <c r="H169">
        <v>2</v>
      </c>
      <c r="I169">
        <v>7297</v>
      </c>
    </row>
    <row r="170" spans="1:9" x14ac:dyDescent="0.35">
      <c r="A170">
        <v>169</v>
      </c>
      <c r="B170" t="s">
        <v>190</v>
      </c>
      <c r="C170">
        <v>30</v>
      </c>
      <c r="D170" t="s">
        <v>21</v>
      </c>
      <c r="E170">
        <v>4</v>
      </c>
      <c r="F170" s="1">
        <v>45821</v>
      </c>
      <c r="G170" s="1">
        <v>45827</v>
      </c>
      <c r="H170">
        <v>1</v>
      </c>
      <c r="I170">
        <v>5462</v>
      </c>
    </row>
    <row r="171" spans="1:9" x14ac:dyDescent="0.35">
      <c r="A171">
        <v>170</v>
      </c>
      <c r="B171" t="s">
        <v>191</v>
      </c>
      <c r="C171">
        <v>34</v>
      </c>
      <c r="D171" t="s">
        <v>21</v>
      </c>
      <c r="E171">
        <v>2</v>
      </c>
      <c r="F171" s="1">
        <v>45747</v>
      </c>
      <c r="G171" s="1">
        <v>45754</v>
      </c>
      <c r="H171">
        <v>2</v>
      </c>
      <c r="I171">
        <v>9516</v>
      </c>
    </row>
    <row r="172" spans="1:9" x14ac:dyDescent="0.35">
      <c r="A172">
        <v>171</v>
      </c>
      <c r="B172" t="s">
        <v>192</v>
      </c>
      <c r="C172">
        <v>55</v>
      </c>
      <c r="D172" t="s">
        <v>21</v>
      </c>
      <c r="E172">
        <v>4</v>
      </c>
      <c r="F172" s="1">
        <v>45793</v>
      </c>
      <c r="G172" s="1">
        <v>45798</v>
      </c>
      <c r="H172">
        <v>2</v>
      </c>
      <c r="I172">
        <v>5079</v>
      </c>
    </row>
    <row r="173" spans="1:9" x14ac:dyDescent="0.35">
      <c r="A173">
        <v>172</v>
      </c>
      <c r="B173" t="s">
        <v>193</v>
      </c>
      <c r="C173">
        <v>84</v>
      </c>
      <c r="D173" t="s">
        <v>21</v>
      </c>
      <c r="E173">
        <v>10</v>
      </c>
      <c r="F173" s="1">
        <v>45717</v>
      </c>
      <c r="G173" s="1">
        <v>45719</v>
      </c>
      <c r="H173">
        <v>1</v>
      </c>
      <c r="I173">
        <v>2832</v>
      </c>
    </row>
    <row r="174" spans="1:9" x14ac:dyDescent="0.35">
      <c r="A174">
        <v>173</v>
      </c>
      <c r="B174" t="s">
        <v>194</v>
      </c>
      <c r="C174">
        <v>43</v>
      </c>
      <c r="D174" t="s">
        <v>21</v>
      </c>
      <c r="E174">
        <v>10</v>
      </c>
      <c r="F174" s="1">
        <v>45835</v>
      </c>
      <c r="G174" s="1">
        <v>45839</v>
      </c>
      <c r="H174">
        <v>3</v>
      </c>
      <c r="I174">
        <v>6408</v>
      </c>
    </row>
    <row r="175" spans="1:9" x14ac:dyDescent="0.35">
      <c r="A175">
        <v>174</v>
      </c>
      <c r="B175" t="s">
        <v>195</v>
      </c>
      <c r="C175">
        <v>68</v>
      </c>
      <c r="D175" t="s">
        <v>25</v>
      </c>
      <c r="E175">
        <v>3</v>
      </c>
      <c r="F175" s="1">
        <v>45685</v>
      </c>
      <c r="G175" s="1">
        <v>45792</v>
      </c>
      <c r="H175">
        <v>3</v>
      </c>
      <c r="I175">
        <v>4806</v>
      </c>
    </row>
    <row r="176" spans="1:9" x14ac:dyDescent="0.35">
      <c r="A176">
        <v>175</v>
      </c>
      <c r="B176" t="s">
        <v>196</v>
      </c>
      <c r="C176">
        <v>56</v>
      </c>
      <c r="D176" t="s">
        <v>25</v>
      </c>
      <c r="E176">
        <v>10</v>
      </c>
      <c r="F176" s="1">
        <v>45758</v>
      </c>
      <c r="G176" s="1">
        <v>45768</v>
      </c>
      <c r="H176">
        <v>1</v>
      </c>
      <c r="I176">
        <v>7954</v>
      </c>
    </row>
    <row r="177" spans="1:9" x14ac:dyDescent="0.35">
      <c r="A177">
        <v>176</v>
      </c>
      <c r="B177" t="s">
        <v>197</v>
      </c>
      <c r="C177">
        <v>38</v>
      </c>
      <c r="D177" t="s">
        <v>21</v>
      </c>
      <c r="E177">
        <v>1</v>
      </c>
      <c r="F177" s="1">
        <v>45698</v>
      </c>
      <c r="G177" s="1">
        <v>45704</v>
      </c>
      <c r="H177">
        <v>3</v>
      </c>
      <c r="I177">
        <v>8103</v>
      </c>
    </row>
    <row r="178" spans="1:9" x14ac:dyDescent="0.35">
      <c r="A178">
        <v>177</v>
      </c>
      <c r="B178" t="s">
        <v>198</v>
      </c>
      <c r="C178">
        <v>44</v>
      </c>
      <c r="D178" t="s">
        <v>25</v>
      </c>
      <c r="E178">
        <v>8</v>
      </c>
      <c r="F178" s="1">
        <v>45812</v>
      </c>
      <c r="G178" s="1">
        <v>45816</v>
      </c>
      <c r="H178">
        <v>1</v>
      </c>
      <c r="I178">
        <v>8102</v>
      </c>
    </row>
    <row r="179" spans="1:9" x14ac:dyDescent="0.35">
      <c r="A179">
        <v>178</v>
      </c>
      <c r="B179" t="s">
        <v>199</v>
      </c>
      <c r="C179">
        <v>44</v>
      </c>
      <c r="D179" t="s">
        <v>25</v>
      </c>
      <c r="E179">
        <v>5</v>
      </c>
      <c r="F179" s="1">
        <v>45802</v>
      </c>
      <c r="G179" s="1">
        <v>45810</v>
      </c>
      <c r="H179">
        <v>1</v>
      </c>
      <c r="I179">
        <v>4490</v>
      </c>
    </row>
    <row r="180" spans="1:9" x14ac:dyDescent="0.35">
      <c r="A180">
        <v>179</v>
      </c>
      <c r="B180" t="s">
        <v>200</v>
      </c>
      <c r="C180">
        <v>55</v>
      </c>
      <c r="D180" t="s">
        <v>25</v>
      </c>
      <c r="E180">
        <v>4</v>
      </c>
      <c r="F180" s="1">
        <v>45818</v>
      </c>
      <c r="G180" s="1">
        <v>45825</v>
      </c>
      <c r="H180">
        <v>1</v>
      </c>
      <c r="I180">
        <v>7886</v>
      </c>
    </row>
    <row r="181" spans="1:9" x14ac:dyDescent="0.35">
      <c r="A181">
        <v>180</v>
      </c>
      <c r="B181" t="s">
        <v>201</v>
      </c>
      <c r="C181">
        <v>71</v>
      </c>
      <c r="D181" t="s">
        <v>25</v>
      </c>
      <c r="E181">
        <v>8</v>
      </c>
      <c r="F181" s="1">
        <v>45814</v>
      </c>
      <c r="G181" s="1">
        <v>45822</v>
      </c>
      <c r="H181">
        <v>3</v>
      </c>
      <c r="I181">
        <v>2327</v>
      </c>
    </row>
    <row r="182" spans="1:9" x14ac:dyDescent="0.35">
      <c r="A182">
        <v>181</v>
      </c>
      <c r="B182" t="s">
        <v>202</v>
      </c>
      <c r="C182">
        <v>89</v>
      </c>
      <c r="D182" t="s">
        <v>21</v>
      </c>
      <c r="E182">
        <v>7</v>
      </c>
      <c r="F182" s="1">
        <v>45798</v>
      </c>
      <c r="G182" s="1">
        <v>45804</v>
      </c>
      <c r="H182">
        <v>1</v>
      </c>
      <c r="I182">
        <v>9221</v>
      </c>
    </row>
    <row r="183" spans="1:9" x14ac:dyDescent="0.35">
      <c r="A183">
        <v>182</v>
      </c>
      <c r="B183" t="s">
        <v>203</v>
      </c>
      <c r="C183">
        <v>42</v>
      </c>
      <c r="D183" t="s">
        <v>25</v>
      </c>
      <c r="E183">
        <v>2</v>
      </c>
      <c r="F183" s="1">
        <v>45703</v>
      </c>
      <c r="G183" s="1">
        <v>45733</v>
      </c>
      <c r="H183">
        <v>2</v>
      </c>
      <c r="I183">
        <v>8904</v>
      </c>
    </row>
    <row r="184" spans="1:9" x14ac:dyDescent="0.35">
      <c r="A184">
        <v>183</v>
      </c>
      <c r="B184" t="s">
        <v>204</v>
      </c>
      <c r="C184">
        <v>80</v>
      </c>
      <c r="D184" t="s">
        <v>25</v>
      </c>
      <c r="E184">
        <v>1</v>
      </c>
      <c r="F184" s="1">
        <v>45692</v>
      </c>
      <c r="G184" s="1">
        <v>45775</v>
      </c>
      <c r="H184">
        <v>3</v>
      </c>
      <c r="I184">
        <v>5310</v>
      </c>
    </row>
    <row r="185" spans="1:9" x14ac:dyDescent="0.35">
      <c r="A185">
        <v>184</v>
      </c>
      <c r="B185" t="s">
        <v>205</v>
      </c>
      <c r="C185">
        <v>61</v>
      </c>
      <c r="D185" t="s">
        <v>21</v>
      </c>
      <c r="E185">
        <v>4</v>
      </c>
      <c r="F185" s="1">
        <v>45791</v>
      </c>
      <c r="G185" s="1">
        <v>45812</v>
      </c>
      <c r="H185">
        <v>3</v>
      </c>
      <c r="I185">
        <v>5300</v>
      </c>
    </row>
    <row r="186" spans="1:9" x14ac:dyDescent="0.35">
      <c r="A186">
        <v>185</v>
      </c>
      <c r="B186" t="s">
        <v>206</v>
      </c>
      <c r="C186">
        <v>68</v>
      </c>
      <c r="D186" t="s">
        <v>21</v>
      </c>
      <c r="E186">
        <v>8</v>
      </c>
      <c r="F186" s="1">
        <v>45739</v>
      </c>
      <c r="G186" s="1">
        <v>45777</v>
      </c>
      <c r="H186">
        <v>3</v>
      </c>
      <c r="I186">
        <v>8722</v>
      </c>
    </row>
    <row r="187" spans="1:9" x14ac:dyDescent="0.35">
      <c r="A187">
        <v>186</v>
      </c>
      <c r="B187" t="s">
        <v>207</v>
      </c>
      <c r="C187">
        <v>78</v>
      </c>
      <c r="D187" t="s">
        <v>25</v>
      </c>
      <c r="E187">
        <v>2</v>
      </c>
      <c r="F187" s="1">
        <v>45772</v>
      </c>
      <c r="G187" s="1">
        <v>45777</v>
      </c>
      <c r="H187">
        <v>3</v>
      </c>
      <c r="I187">
        <v>9218</v>
      </c>
    </row>
    <row r="188" spans="1:9" x14ac:dyDescent="0.35">
      <c r="A188">
        <v>187</v>
      </c>
      <c r="B188" t="s">
        <v>208</v>
      </c>
      <c r="C188">
        <v>81</v>
      </c>
      <c r="D188" t="s">
        <v>25</v>
      </c>
      <c r="E188">
        <v>3</v>
      </c>
      <c r="F188" s="1">
        <v>45704</v>
      </c>
      <c r="G188" s="1">
        <v>45707</v>
      </c>
      <c r="H188">
        <v>2</v>
      </c>
      <c r="I188">
        <v>9776</v>
      </c>
    </row>
    <row r="189" spans="1:9" x14ac:dyDescent="0.35">
      <c r="A189">
        <v>188</v>
      </c>
      <c r="B189" t="s">
        <v>209</v>
      </c>
      <c r="C189">
        <v>61</v>
      </c>
      <c r="D189" t="s">
        <v>25</v>
      </c>
      <c r="E189">
        <v>1</v>
      </c>
      <c r="F189" s="1">
        <v>45810</v>
      </c>
      <c r="G189" s="1">
        <v>45815</v>
      </c>
      <c r="H189">
        <v>3</v>
      </c>
      <c r="I189">
        <v>5675</v>
      </c>
    </row>
    <row r="190" spans="1:9" x14ac:dyDescent="0.35">
      <c r="A190">
        <v>189</v>
      </c>
      <c r="B190" t="s">
        <v>210</v>
      </c>
      <c r="C190">
        <v>33</v>
      </c>
      <c r="D190" t="s">
        <v>25</v>
      </c>
      <c r="E190">
        <v>1</v>
      </c>
      <c r="F190" s="1">
        <v>45667</v>
      </c>
      <c r="G190" s="1">
        <v>45674</v>
      </c>
      <c r="H190">
        <v>3</v>
      </c>
      <c r="I190">
        <v>5054</v>
      </c>
    </row>
    <row r="191" spans="1:9" x14ac:dyDescent="0.35">
      <c r="A191">
        <v>190</v>
      </c>
      <c r="B191" t="s">
        <v>211</v>
      </c>
      <c r="C191">
        <v>59</v>
      </c>
      <c r="D191" t="s">
        <v>25</v>
      </c>
      <c r="E191">
        <v>3</v>
      </c>
      <c r="F191" s="1">
        <v>45713</v>
      </c>
      <c r="G191" s="1">
        <v>45834</v>
      </c>
      <c r="H191">
        <v>1</v>
      </c>
      <c r="I191">
        <v>7383</v>
      </c>
    </row>
    <row r="192" spans="1:9" x14ac:dyDescent="0.35">
      <c r="A192">
        <v>191</v>
      </c>
      <c r="B192" t="s">
        <v>212</v>
      </c>
      <c r="C192">
        <v>66</v>
      </c>
      <c r="D192" t="s">
        <v>25</v>
      </c>
      <c r="E192">
        <v>5</v>
      </c>
      <c r="F192" s="1">
        <v>45687</v>
      </c>
      <c r="G192" s="1">
        <v>45779</v>
      </c>
      <c r="H192">
        <v>3</v>
      </c>
      <c r="I192">
        <v>9585</v>
      </c>
    </row>
    <row r="193" spans="1:9" x14ac:dyDescent="0.35">
      <c r="A193">
        <v>192</v>
      </c>
      <c r="B193" t="s">
        <v>213</v>
      </c>
      <c r="C193">
        <v>52</v>
      </c>
      <c r="D193" t="s">
        <v>21</v>
      </c>
      <c r="E193">
        <v>3</v>
      </c>
      <c r="F193" s="1">
        <v>45766</v>
      </c>
      <c r="G193" s="1">
        <v>45769</v>
      </c>
      <c r="H193">
        <v>2</v>
      </c>
      <c r="I193">
        <v>9970</v>
      </c>
    </row>
    <row r="194" spans="1:9" x14ac:dyDescent="0.35">
      <c r="A194">
        <v>193</v>
      </c>
      <c r="B194" t="s">
        <v>214</v>
      </c>
      <c r="C194">
        <v>68</v>
      </c>
      <c r="D194" t="s">
        <v>25</v>
      </c>
      <c r="E194">
        <v>1</v>
      </c>
      <c r="F194" s="1">
        <v>45662</v>
      </c>
      <c r="G194" s="1">
        <v>45708</v>
      </c>
      <c r="H194">
        <v>2</v>
      </c>
      <c r="I194">
        <v>4143</v>
      </c>
    </row>
    <row r="195" spans="1:9" x14ac:dyDescent="0.35">
      <c r="A195">
        <v>194</v>
      </c>
      <c r="B195" t="s">
        <v>215</v>
      </c>
      <c r="C195">
        <v>74</v>
      </c>
      <c r="D195" t="s">
        <v>25</v>
      </c>
      <c r="E195">
        <v>1</v>
      </c>
      <c r="F195" s="1">
        <v>45776</v>
      </c>
      <c r="G195" s="1">
        <v>45835</v>
      </c>
      <c r="H195">
        <v>2</v>
      </c>
      <c r="I195">
        <v>7207</v>
      </c>
    </row>
    <row r="196" spans="1:9" x14ac:dyDescent="0.35">
      <c r="A196">
        <v>195</v>
      </c>
      <c r="B196" t="s">
        <v>216</v>
      </c>
      <c r="C196">
        <v>44</v>
      </c>
      <c r="D196" t="s">
        <v>21</v>
      </c>
      <c r="E196">
        <v>8</v>
      </c>
      <c r="F196" s="1">
        <v>45690</v>
      </c>
      <c r="G196" s="1">
        <v>45767</v>
      </c>
      <c r="H196">
        <v>2</v>
      </c>
      <c r="I196">
        <v>9245</v>
      </c>
    </row>
    <row r="197" spans="1:9" x14ac:dyDescent="0.35">
      <c r="A197">
        <v>196</v>
      </c>
      <c r="B197" t="s">
        <v>217</v>
      </c>
      <c r="C197">
        <v>72</v>
      </c>
      <c r="D197" t="s">
        <v>21</v>
      </c>
      <c r="E197">
        <v>10</v>
      </c>
      <c r="F197" s="1">
        <v>45775</v>
      </c>
      <c r="G197" s="1">
        <v>45779</v>
      </c>
      <c r="H197">
        <v>3</v>
      </c>
      <c r="I197">
        <v>3311</v>
      </c>
    </row>
    <row r="198" spans="1:9" x14ac:dyDescent="0.35">
      <c r="A198">
        <v>197</v>
      </c>
      <c r="B198" t="s">
        <v>218</v>
      </c>
      <c r="C198">
        <v>58</v>
      </c>
      <c r="D198" t="s">
        <v>21</v>
      </c>
      <c r="E198">
        <v>2</v>
      </c>
      <c r="F198" s="1">
        <v>45722</v>
      </c>
      <c r="G198" s="1">
        <v>45846</v>
      </c>
      <c r="H198">
        <v>3</v>
      </c>
      <c r="I198">
        <v>5191</v>
      </c>
    </row>
    <row r="199" spans="1:9" x14ac:dyDescent="0.35">
      <c r="A199">
        <v>198</v>
      </c>
      <c r="B199" t="s">
        <v>219</v>
      </c>
      <c r="C199">
        <v>65</v>
      </c>
      <c r="D199" t="s">
        <v>21</v>
      </c>
      <c r="E199">
        <v>3</v>
      </c>
      <c r="F199" s="1">
        <v>45803</v>
      </c>
      <c r="G199" s="1">
        <v>45812</v>
      </c>
      <c r="H199">
        <v>2</v>
      </c>
      <c r="I199">
        <v>8957</v>
      </c>
    </row>
    <row r="200" spans="1:9" x14ac:dyDescent="0.35">
      <c r="A200">
        <v>199</v>
      </c>
      <c r="B200" t="s">
        <v>220</v>
      </c>
      <c r="C200">
        <v>42</v>
      </c>
      <c r="D200" t="s">
        <v>25</v>
      </c>
      <c r="E200">
        <v>2</v>
      </c>
      <c r="F200" s="1">
        <v>45834</v>
      </c>
      <c r="G200" s="1">
        <v>45843</v>
      </c>
      <c r="H200">
        <v>2</v>
      </c>
      <c r="I200">
        <v>4538</v>
      </c>
    </row>
    <row r="201" spans="1:9" x14ac:dyDescent="0.35">
      <c r="A201">
        <v>200</v>
      </c>
      <c r="B201" t="s">
        <v>221</v>
      </c>
      <c r="C201">
        <v>61</v>
      </c>
      <c r="D201" t="s">
        <v>25</v>
      </c>
      <c r="E201">
        <v>3</v>
      </c>
      <c r="F201" s="1">
        <v>45668</v>
      </c>
      <c r="G201" s="1">
        <v>45725</v>
      </c>
      <c r="H201">
        <v>3</v>
      </c>
      <c r="I201">
        <v>5983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2B74A-DFD6-4B4C-9D35-1FFB9CC83AE1}">
  <dimension ref="C4:D18"/>
  <sheetViews>
    <sheetView workbookViewId="0">
      <selection activeCell="D18" sqref="D18"/>
    </sheetView>
  </sheetViews>
  <sheetFormatPr defaultRowHeight="14.5" x14ac:dyDescent="0.35"/>
  <cols>
    <col min="2" max="2" width="13" bestFit="1" customWidth="1"/>
    <col min="3" max="3" width="17.08984375" bestFit="1" customWidth="1"/>
    <col min="4" max="4" width="19.54296875" bestFit="1" customWidth="1"/>
    <col min="5" max="5" width="16.1796875" bestFit="1" customWidth="1"/>
    <col min="6" max="6" width="17.1796875" bestFit="1" customWidth="1"/>
  </cols>
  <sheetData>
    <row r="4" spans="3:4" x14ac:dyDescent="0.35">
      <c r="C4" s="5" t="s">
        <v>14</v>
      </c>
      <c r="D4" t="s">
        <v>247</v>
      </c>
    </row>
    <row r="6" spans="3:4" x14ac:dyDescent="0.35">
      <c r="C6" s="5" t="s">
        <v>248</v>
      </c>
      <c r="D6" t="s">
        <v>246</v>
      </c>
    </row>
    <row r="7" spans="3:4" x14ac:dyDescent="0.35">
      <c r="C7" s="6" t="s">
        <v>144</v>
      </c>
      <c r="D7" s="7">
        <v>2951</v>
      </c>
    </row>
    <row r="8" spans="3:4" x14ac:dyDescent="0.35">
      <c r="C8" s="6" t="s">
        <v>48</v>
      </c>
      <c r="D8" s="7">
        <v>5449</v>
      </c>
    </row>
    <row r="9" spans="3:4" x14ac:dyDescent="0.35">
      <c r="C9" s="6" t="s">
        <v>149</v>
      </c>
      <c r="D9" s="7">
        <v>4332</v>
      </c>
    </row>
    <row r="10" spans="3:4" x14ac:dyDescent="0.35">
      <c r="C10" s="6" t="s">
        <v>184</v>
      </c>
      <c r="D10" s="7">
        <v>6064</v>
      </c>
    </row>
    <row r="11" spans="3:4" x14ac:dyDescent="0.35">
      <c r="C11" s="6" t="s">
        <v>190</v>
      </c>
      <c r="D11" s="7">
        <v>5462</v>
      </c>
    </row>
    <row r="12" spans="3:4" x14ac:dyDescent="0.35">
      <c r="C12" s="6" t="s">
        <v>88</v>
      </c>
      <c r="D12" s="7">
        <v>2574</v>
      </c>
    </row>
    <row r="13" spans="3:4" x14ac:dyDescent="0.35">
      <c r="C13" s="6" t="s">
        <v>104</v>
      </c>
      <c r="D13" s="7">
        <v>6858</v>
      </c>
    </row>
    <row r="14" spans="3:4" x14ac:dyDescent="0.35">
      <c r="C14" s="6" t="s">
        <v>43</v>
      </c>
      <c r="D14" s="7">
        <v>2126</v>
      </c>
    </row>
    <row r="15" spans="3:4" x14ac:dyDescent="0.35">
      <c r="C15" s="6" t="s">
        <v>245</v>
      </c>
      <c r="D15" s="7">
        <v>35816</v>
      </c>
    </row>
    <row r="18" spans="4:4" x14ac:dyDescent="0.35">
      <c r="D18" t="s">
        <v>249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57DD-5096-46EE-A8A8-8A968C1035AC}">
  <dimension ref="A1:B4"/>
  <sheetViews>
    <sheetView workbookViewId="0">
      <selection sqref="A1:B4"/>
    </sheetView>
  </sheetViews>
  <sheetFormatPr defaultRowHeight="14.5" x14ac:dyDescent="0.35"/>
  <cols>
    <col min="2" max="2" width="13.26953125" bestFit="1" customWidth="1"/>
  </cols>
  <sheetData>
    <row r="1" spans="1:2" x14ac:dyDescent="0.35">
      <c r="A1" t="s">
        <v>18</v>
      </c>
      <c r="B1" t="s">
        <v>222</v>
      </c>
    </row>
    <row r="2" spans="1:2" x14ac:dyDescent="0.35">
      <c r="A2">
        <v>1</v>
      </c>
      <c r="B2" t="s">
        <v>223</v>
      </c>
    </row>
    <row r="3" spans="1:2" x14ac:dyDescent="0.35">
      <c r="A3">
        <v>2</v>
      </c>
      <c r="B3" t="s">
        <v>224</v>
      </c>
    </row>
    <row r="4" spans="1:2" x14ac:dyDescent="0.35">
      <c r="A4">
        <v>3</v>
      </c>
      <c r="B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A9A9-3FB6-4EC9-A787-2A78FD94F41A}">
  <dimension ref="A1:G201"/>
  <sheetViews>
    <sheetView topLeftCell="A179" workbookViewId="0">
      <selection activeCell="C6" sqref="C6"/>
    </sheetView>
  </sheetViews>
  <sheetFormatPr defaultRowHeight="14.5" x14ac:dyDescent="0.35"/>
  <cols>
    <col min="3" max="3" width="13" bestFit="1" customWidth="1"/>
    <col min="5" max="5" width="11.7265625" bestFit="1" customWidth="1"/>
    <col min="7" max="7" width="13.6328125" bestFit="1" customWidth="1"/>
  </cols>
  <sheetData>
    <row r="1" spans="1:7" x14ac:dyDescent="0.35">
      <c r="A1" s="2" t="s">
        <v>226</v>
      </c>
      <c r="B1" s="2" t="s">
        <v>12</v>
      </c>
      <c r="C1" s="2" t="s">
        <v>227</v>
      </c>
      <c r="D1" s="2" t="s">
        <v>228</v>
      </c>
      <c r="E1" s="2" t="s">
        <v>229</v>
      </c>
      <c r="G1" s="2" t="s">
        <v>1</v>
      </c>
    </row>
    <row r="2" spans="1:7" x14ac:dyDescent="0.35">
      <c r="A2" s="2">
        <v>1</v>
      </c>
      <c r="B2" s="2">
        <v>196</v>
      </c>
      <c r="C2" s="2" t="s">
        <v>230</v>
      </c>
      <c r="D2" s="2">
        <v>89.7</v>
      </c>
      <c r="E2" s="2" t="s">
        <v>231</v>
      </c>
    </row>
    <row r="3" spans="1:7" x14ac:dyDescent="0.35">
      <c r="A3" s="2">
        <v>2</v>
      </c>
      <c r="B3" s="2">
        <v>165</v>
      </c>
      <c r="C3" s="2" t="s">
        <v>232</v>
      </c>
      <c r="D3" s="2">
        <v>270.2</v>
      </c>
      <c r="E3" s="2" t="s">
        <v>233</v>
      </c>
    </row>
    <row r="4" spans="1:7" x14ac:dyDescent="0.35">
      <c r="A4" s="2">
        <v>3</v>
      </c>
      <c r="B4" s="2">
        <v>182</v>
      </c>
      <c r="C4" s="2" t="s">
        <v>230</v>
      </c>
      <c r="D4" s="2">
        <v>268</v>
      </c>
      <c r="E4" s="2" t="s">
        <v>234</v>
      </c>
    </row>
    <row r="5" spans="1:7" x14ac:dyDescent="0.35">
      <c r="A5" s="2">
        <v>4</v>
      </c>
      <c r="B5" s="2">
        <v>142</v>
      </c>
      <c r="C5" s="2" t="s">
        <v>232</v>
      </c>
      <c r="D5" s="2">
        <v>57.3</v>
      </c>
      <c r="E5" s="2" t="s">
        <v>231</v>
      </c>
    </row>
    <row r="6" spans="1:7" x14ac:dyDescent="0.35">
      <c r="A6" s="2">
        <v>5</v>
      </c>
      <c r="B6" s="2">
        <v>55</v>
      </c>
      <c r="C6" s="2" t="s">
        <v>235</v>
      </c>
      <c r="D6" s="2">
        <v>256.5</v>
      </c>
      <c r="E6" s="2" t="s">
        <v>236</v>
      </c>
    </row>
    <row r="7" spans="1:7" x14ac:dyDescent="0.35">
      <c r="A7" s="2">
        <v>6</v>
      </c>
      <c r="B7" s="2">
        <v>176</v>
      </c>
      <c r="C7" s="2" t="s">
        <v>237</v>
      </c>
      <c r="D7" s="2">
        <v>82.2</v>
      </c>
      <c r="E7" s="2" t="s">
        <v>236</v>
      </c>
    </row>
    <row r="8" spans="1:7" x14ac:dyDescent="0.35">
      <c r="A8" s="2">
        <v>7</v>
      </c>
      <c r="B8" s="2">
        <v>7</v>
      </c>
      <c r="C8" s="2" t="s">
        <v>230</v>
      </c>
      <c r="D8" s="2">
        <v>133.80000000000001</v>
      </c>
      <c r="E8" s="2" t="s">
        <v>231</v>
      </c>
    </row>
    <row r="9" spans="1:7" x14ac:dyDescent="0.35">
      <c r="A9" s="2">
        <v>8</v>
      </c>
      <c r="B9" s="2">
        <v>74</v>
      </c>
      <c r="C9" s="2" t="s">
        <v>238</v>
      </c>
      <c r="D9" s="2">
        <v>235.9</v>
      </c>
      <c r="E9" s="2" t="s">
        <v>234</v>
      </c>
    </row>
    <row r="10" spans="1:7" x14ac:dyDescent="0.35">
      <c r="A10" s="2">
        <v>9</v>
      </c>
      <c r="B10" s="2">
        <v>7</v>
      </c>
      <c r="C10" s="2" t="s">
        <v>238</v>
      </c>
      <c r="D10" s="2">
        <v>90.2</v>
      </c>
      <c r="E10" s="2" t="s">
        <v>239</v>
      </c>
    </row>
    <row r="11" spans="1:7" x14ac:dyDescent="0.35">
      <c r="A11" s="2">
        <v>10</v>
      </c>
      <c r="B11" s="2">
        <v>161</v>
      </c>
      <c r="C11" s="2" t="s">
        <v>240</v>
      </c>
      <c r="D11" s="2">
        <v>254.5</v>
      </c>
      <c r="E11" s="2" t="s">
        <v>233</v>
      </c>
    </row>
    <row r="12" spans="1:7" x14ac:dyDescent="0.35">
      <c r="A12" s="2">
        <v>11</v>
      </c>
      <c r="B12" s="2">
        <v>151</v>
      </c>
      <c r="C12" s="2" t="s">
        <v>232</v>
      </c>
      <c r="D12" s="2">
        <v>258</v>
      </c>
      <c r="E12" s="2" t="s">
        <v>236</v>
      </c>
    </row>
    <row r="13" spans="1:7" x14ac:dyDescent="0.35">
      <c r="A13" s="2">
        <v>12</v>
      </c>
      <c r="B13" s="2">
        <v>85</v>
      </c>
      <c r="C13" s="2" t="s">
        <v>230</v>
      </c>
      <c r="D13" s="2">
        <v>176.9</v>
      </c>
      <c r="E13" s="2" t="s">
        <v>239</v>
      </c>
    </row>
    <row r="14" spans="1:7" x14ac:dyDescent="0.35">
      <c r="A14" s="2">
        <v>13</v>
      </c>
      <c r="B14" s="2">
        <v>147</v>
      </c>
      <c r="C14" s="2" t="s">
        <v>240</v>
      </c>
      <c r="D14" s="2">
        <v>51.6</v>
      </c>
      <c r="E14" s="2" t="s">
        <v>231</v>
      </c>
    </row>
    <row r="15" spans="1:7" x14ac:dyDescent="0.35">
      <c r="A15" s="2">
        <v>14</v>
      </c>
      <c r="B15" s="2">
        <v>112</v>
      </c>
      <c r="C15" s="2" t="s">
        <v>230</v>
      </c>
      <c r="D15" s="2">
        <v>121.8</v>
      </c>
      <c r="E15" s="2" t="s">
        <v>239</v>
      </c>
    </row>
    <row r="16" spans="1:7" x14ac:dyDescent="0.35">
      <c r="A16" s="2">
        <v>15</v>
      </c>
      <c r="B16" s="2">
        <v>125</v>
      </c>
      <c r="C16" s="2" t="s">
        <v>232</v>
      </c>
      <c r="D16" s="2">
        <v>204.2</v>
      </c>
      <c r="E16" s="2" t="s">
        <v>241</v>
      </c>
    </row>
    <row r="17" spans="1:5" x14ac:dyDescent="0.35">
      <c r="A17" s="2">
        <v>16</v>
      </c>
      <c r="B17" s="2">
        <v>147</v>
      </c>
      <c r="C17" s="2" t="s">
        <v>238</v>
      </c>
      <c r="D17" s="2">
        <v>295.3</v>
      </c>
      <c r="E17" s="2" t="s">
        <v>236</v>
      </c>
    </row>
    <row r="18" spans="1:5" x14ac:dyDescent="0.35">
      <c r="A18" s="2">
        <v>17</v>
      </c>
      <c r="B18" s="2">
        <v>36</v>
      </c>
      <c r="C18" s="2" t="s">
        <v>235</v>
      </c>
      <c r="D18" s="2">
        <v>208</v>
      </c>
      <c r="E18" s="2" t="s">
        <v>231</v>
      </c>
    </row>
    <row r="19" spans="1:5" x14ac:dyDescent="0.35">
      <c r="A19" s="2">
        <v>18</v>
      </c>
      <c r="B19" s="2">
        <v>29</v>
      </c>
      <c r="C19" s="2" t="s">
        <v>238</v>
      </c>
      <c r="D19" s="2">
        <v>115</v>
      </c>
      <c r="E19" s="2" t="s">
        <v>233</v>
      </c>
    </row>
    <row r="20" spans="1:5" x14ac:dyDescent="0.35">
      <c r="A20" s="2">
        <v>19</v>
      </c>
      <c r="B20" s="2">
        <v>188</v>
      </c>
      <c r="C20" s="2" t="s">
        <v>240</v>
      </c>
      <c r="D20" s="2">
        <v>208.5</v>
      </c>
      <c r="E20" s="2" t="s">
        <v>234</v>
      </c>
    </row>
    <row r="21" spans="1:5" x14ac:dyDescent="0.35">
      <c r="A21" s="2">
        <v>20</v>
      </c>
      <c r="B21" s="2">
        <v>82</v>
      </c>
      <c r="C21" s="2" t="s">
        <v>237</v>
      </c>
      <c r="D21" s="2">
        <v>185</v>
      </c>
      <c r="E21" s="2" t="s">
        <v>231</v>
      </c>
    </row>
    <row r="22" spans="1:5" x14ac:dyDescent="0.35">
      <c r="A22" s="2">
        <v>21</v>
      </c>
      <c r="B22" s="2">
        <v>2</v>
      </c>
      <c r="C22" s="2" t="s">
        <v>235</v>
      </c>
      <c r="D22" s="2">
        <v>245</v>
      </c>
      <c r="E22" s="2" t="s">
        <v>233</v>
      </c>
    </row>
    <row r="23" spans="1:5" x14ac:dyDescent="0.35">
      <c r="A23" s="2">
        <v>22</v>
      </c>
      <c r="B23" s="2">
        <v>129</v>
      </c>
      <c r="C23" s="2" t="s">
        <v>240</v>
      </c>
      <c r="D23" s="2">
        <v>76.7</v>
      </c>
      <c r="E23" s="2" t="s">
        <v>234</v>
      </c>
    </row>
    <row r="24" spans="1:5" x14ac:dyDescent="0.35">
      <c r="A24" s="2">
        <v>23</v>
      </c>
      <c r="B24" s="2">
        <v>47</v>
      </c>
      <c r="C24" s="2" t="s">
        <v>232</v>
      </c>
      <c r="D24" s="2">
        <v>240.3</v>
      </c>
      <c r="E24" s="2" t="s">
        <v>234</v>
      </c>
    </row>
    <row r="25" spans="1:5" x14ac:dyDescent="0.35">
      <c r="A25" s="2">
        <v>24</v>
      </c>
      <c r="B25" s="2">
        <v>197</v>
      </c>
      <c r="C25" s="2" t="s">
        <v>235</v>
      </c>
      <c r="D25" s="2">
        <v>185.3</v>
      </c>
      <c r="E25" s="2" t="s">
        <v>231</v>
      </c>
    </row>
    <row r="26" spans="1:5" x14ac:dyDescent="0.35">
      <c r="A26" s="2">
        <v>25</v>
      </c>
      <c r="B26" s="2">
        <v>148</v>
      </c>
      <c r="C26" s="2" t="s">
        <v>240</v>
      </c>
      <c r="D26" s="2">
        <v>290.7</v>
      </c>
      <c r="E26" s="2" t="s">
        <v>239</v>
      </c>
    </row>
    <row r="27" spans="1:5" x14ac:dyDescent="0.35">
      <c r="A27" s="2">
        <v>26</v>
      </c>
      <c r="B27" s="2">
        <v>11</v>
      </c>
      <c r="C27" s="2" t="s">
        <v>232</v>
      </c>
      <c r="D27" s="2">
        <v>135.5</v>
      </c>
      <c r="E27" s="2" t="s">
        <v>239</v>
      </c>
    </row>
    <row r="28" spans="1:5" x14ac:dyDescent="0.35">
      <c r="A28" s="2">
        <v>27</v>
      </c>
      <c r="B28" s="2">
        <v>130</v>
      </c>
      <c r="C28" s="2" t="s">
        <v>238</v>
      </c>
      <c r="D28" s="2">
        <v>208.2</v>
      </c>
      <c r="E28" s="2" t="s">
        <v>234</v>
      </c>
    </row>
    <row r="29" spans="1:5" x14ac:dyDescent="0.35">
      <c r="A29" s="2">
        <v>28</v>
      </c>
      <c r="B29" s="2">
        <v>195</v>
      </c>
      <c r="C29" s="2" t="s">
        <v>237</v>
      </c>
      <c r="D29" s="2">
        <v>283</v>
      </c>
      <c r="E29" s="2" t="s">
        <v>239</v>
      </c>
    </row>
    <row r="30" spans="1:5" x14ac:dyDescent="0.35">
      <c r="A30" s="2">
        <v>29</v>
      </c>
      <c r="B30" s="2">
        <v>119</v>
      </c>
      <c r="C30" s="2" t="s">
        <v>232</v>
      </c>
      <c r="D30" s="2">
        <v>75.599999999999994</v>
      </c>
      <c r="E30" s="2" t="s">
        <v>241</v>
      </c>
    </row>
    <row r="31" spans="1:5" x14ac:dyDescent="0.35">
      <c r="A31" s="2">
        <v>30</v>
      </c>
      <c r="B31" s="2">
        <v>140</v>
      </c>
      <c r="C31" s="2" t="s">
        <v>230</v>
      </c>
      <c r="D31" s="2">
        <v>284.3</v>
      </c>
      <c r="E31" s="2" t="s">
        <v>234</v>
      </c>
    </row>
    <row r="32" spans="1:5" x14ac:dyDescent="0.35">
      <c r="A32" s="2">
        <v>31</v>
      </c>
      <c r="B32" s="2">
        <v>20</v>
      </c>
      <c r="C32" s="2" t="s">
        <v>232</v>
      </c>
      <c r="D32" s="2">
        <v>222</v>
      </c>
      <c r="E32" s="2" t="s">
        <v>234</v>
      </c>
    </row>
    <row r="33" spans="1:5" x14ac:dyDescent="0.35">
      <c r="A33" s="2">
        <v>32</v>
      </c>
      <c r="B33" s="2">
        <v>5</v>
      </c>
      <c r="C33" s="2" t="s">
        <v>232</v>
      </c>
      <c r="D33" s="2">
        <v>67</v>
      </c>
      <c r="E33" s="2" t="s">
        <v>233</v>
      </c>
    </row>
    <row r="34" spans="1:5" x14ac:dyDescent="0.35">
      <c r="A34" s="2">
        <v>33</v>
      </c>
      <c r="B34" s="2">
        <v>37</v>
      </c>
      <c r="C34" s="2" t="s">
        <v>237</v>
      </c>
      <c r="D34" s="2">
        <v>125.2</v>
      </c>
      <c r="E34" s="2" t="s">
        <v>239</v>
      </c>
    </row>
    <row r="35" spans="1:5" x14ac:dyDescent="0.35">
      <c r="A35" s="2">
        <v>34</v>
      </c>
      <c r="B35" s="2">
        <v>166</v>
      </c>
      <c r="C35" s="2" t="s">
        <v>230</v>
      </c>
      <c r="D35" s="2">
        <v>227</v>
      </c>
      <c r="E35" s="2" t="s">
        <v>234</v>
      </c>
    </row>
    <row r="36" spans="1:5" x14ac:dyDescent="0.35">
      <c r="A36" s="2">
        <v>35</v>
      </c>
      <c r="B36" s="2">
        <v>137</v>
      </c>
      <c r="C36" s="2" t="s">
        <v>240</v>
      </c>
      <c r="D36" s="2">
        <v>66.8</v>
      </c>
      <c r="E36" s="2" t="s">
        <v>241</v>
      </c>
    </row>
    <row r="37" spans="1:5" x14ac:dyDescent="0.35">
      <c r="A37" s="2">
        <v>36</v>
      </c>
      <c r="B37" s="2">
        <v>53</v>
      </c>
      <c r="C37" s="2" t="s">
        <v>240</v>
      </c>
      <c r="D37" s="2">
        <v>195.5</v>
      </c>
      <c r="E37" s="2" t="s">
        <v>233</v>
      </c>
    </row>
    <row r="38" spans="1:5" x14ac:dyDescent="0.35">
      <c r="A38" s="2">
        <v>37</v>
      </c>
      <c r="B38" s="2">
        <v>172</v>
      </c>
      <c r="C38" s="2" t="s">
        <v>232</v>
      </c>
      <c r="D38" s="2">
        <v>136.5</v>
      </c>
      <c r="E38" s="2" t="s">
        <v>231</v>
      </c>
    </row>
    <row r="39" spans="1:5" x14ac:dyDescent="0.35">
      <c r="A39" s="2">
        <v>38</v>
      </c>
      <c r="B39" s="2">
        <v>99</v>
      </c>
      <c r="C39" s="2" t="s">
        <v>230</v>
      </c>
      <c r="D39" s="2">
        <v>205.2</v>
      </c>
      <c r="E39" s="2" t="s">
        <v>234</v>
      </c>
    </row>
    <row r="40" spans="1:5" x14ac:dyDescent="0.35">
      <c r="A40" s="2">
        <v>39</v>
      </c>
      <c r="B40" s="2">
        <v>86</v>
      </c>
      <c r="C40" s="2" t="s">
        <v>230</v>
      </c>
      <c r="D40" s="2">
        <v>61.4</v>
      </c>
      <c r="E40" s="2" t="s">
        <v>241</v>
      </c>
    </row>
    <row r="41" spans="1:5" x14ac:dyDescent="0.35">
      <c r="A41" s="2">
        <v>40</v>
      </c>
      <c r="B41" s="2">
        <v>108</v>
      </c>
      <c r="C41" s="2" t="s">
        <v>237</v>
      </c>
      <c r="D41" s="2">
        <v>267.89999999999998</v>
      </c>
      <c r="E41" s="2" t="s">
        <v>236</v>
      </c>
    </row>
    <row r="42" spans="1:5" x14ac:dyDescent="0.35">
      <c r="A42" s="2">
        <v>41</v>
      </c>
      <c r="B42" s="2">
        <v>24</v>
      </c>
      <c r="C42" s="2" t="s">
        <v>238</v>
      </c>
      <c r="D42" s="2">
        <v>293.39999999999998</v>
      </c>
      <c r="E42" s="2" t="s">
        <v>241</v>
      </c>
    </row>
    <row r="43" spans="1:5" x14ac:dyDescent="0.35">
      <c r="A43" s="2">
        <v>42</v>
      </c>
      <c r="B43" s="2">
        <v>81</v>
      </c>
      <c r="C43" s="2" t="s">
        <v>240</v>
      </c>
      <c r="D43" s="2">
        <v>292.2</v>
      </c>
      <c r="E43" s="2" t="s">
        <v>241</v>
      </c>
    </row>
    <row r="44" spans="1:5" x14ac:dyDescent="0.35">
      <c r="A44" s="2">
        <v>43</v>
      </c>
      <c r="B44" s="2">
        <v>158</v>
      </c>
      <c r="C44" s="2" t="s">
        <v>237</v>
      </c>
      <c r="D44" s="2">
        <v>237.4</v>
      </c>
      <c r="E44" s="2" t="s">
        <v>233</v>
      </c>
    </row>
    <row r="45" spans="1:5" x14ac:dyDescent="0.35">
      <c r="A45" s="2">
        <v>44</v>
      </c>
      <c r="B45" s="2">
        <v>120</v>
      </c>
      <c r="C45" s="2" t="s">
        <v>235</v>
      </c>
      <c r="D45" s="2">
        <v>82.5</v>
      </c>
      <c r="E45" s="2" t="s">
        <v>231</v>
      </c>
    </row>
    <row r="46" spans="1:5" x14ac:dyDescent="0.35">
      <c r="A46" s="2">
        <v>45</v>
      </c>
      <c r="B46" s="2">
        <v>59</v>
      </c>
      <c r="C46" s="2" t="s">
        <v>240</v>
      </c>
      <c r="D46" s="2">
        <v>239.6</v>
      </c>
      <c r="E46" s="2" t="s">
        <v>236</v>
      </c>
    </row>
    <row r="47" spans="1:5" x14ac:dyDescent="0.35">
      <c r="A47" s="2">
        <v>46</v>
      </c>
      <c r="B47" s="2">
        <v>128</v>
      </c>
      <c r="C47" s="2" t="s">
        <v>237</v>
      </c>
      <c r="D47" s="2">
        <v>56.1</v>
      </c>
      <c r="E47" s="2" t="s">
        <v>239</v>
      </c>
    </row>
    <row r="48" spans="1:5" x14ac:dyDescent="0.35">
      <c r="A48" s="2">
        <v>47</v>
      </c>
      <c r="B48" s="2">
        <v>114</v>
      </c>
      <c r="C48" s="2" t="s">
        <v>240</v>
      </c>
      <c r="D48" s="2">
        <v>55.5</v>
      </c>
      <c r="E48" s="2" t="s">
        <v>239</v>
      </c>
    </row>
    <row r="49" spans="1:5" x14ac:dyDescent="0.35">
      <c r="A49" s="2">
        <v>48</v>
      </c>
      <c r="B49" s="2">
        <v>115</v>
      </c>
      <c r="C49" s="2" t="s">
        <v>238</v>
      </c>
      <c r="D49" s="2">
        <v>130.9</v>
      </c>
      <c r="E49" s="2" t="s">
        <v>241</v>
      </c>
    </row>
    <row r="50" spans="1:5" x14ac:dyDescent="0.35">
      <c r="A50" s="2">
        <v>49</v>
      </c>
      <c r="B50" s="2">
        <v>14</v>
      </c>
      <c r="C50" s="2" t="s">
        <v>235</v>
      </c>
      <c r="D50" s="2">
        <v>172.2</v>
      </c>
      <c r="E50" s="2" t="s">
        <v>233</v>
      </c>
    </row>
    <row r="51" spans="1:5" x14ac:dyDescent="0.35">
      <c r="A51" s="2">
        <v>50</v>
      </c>
      <c r="B51" s="2">
        <v>9</v>
      </c>
      <c r="C51" s="2" t="s">
        <v>238</v>
      </c>
      <c r="D51" s="2">
        <v>242.6</v>
      </c>
      <c r="E51" s="2" t="s">
        <v>233</v>
      </c>
    </row>
    <row r="52" spans="1:5" x14ac:dyDescent="0.35">
      <c r="A52" s="2">
        <v>51</v>
      </c>
      <c r="B52" s="2">
        <v>40</v>
      </c>
      <c r="C52" s="2" t="s">
        <v>235</v>
      </c>
      <c r="D52" s="2">
        <v>220.8</v>
      </c>
      <c r="E52" s="2" t="s">
        <v>239</v>
      </c>
    </row>
    <row r="53" spans="1:5" x14ac:dyDescent="0.35">
      <c r="A53" s="2">
        <v>52</v>
      </c>
      <c r="B53" s="2">
        <v>194</v>
      </c>
      <c r="C53" s="2" t="s">
        <v>232</v>
      </c>
      <c r="D53" s="2">
        <v>161.5</v>
      </c>
      <c r="E53" s="2" t="s">
        <v>236</v>
      </c>
    </row>
    <row r="54" spans="1:5" x14ac:dyDescent="0.35">
      <c r="A54" s="2">
        <v>53</v>
      </c>
      <c r="B54" s="2">
        <v>25</v>
      </c>
      <c r="C54" s="2" t="s">
        <v>237</v>
      </c>
      <c r="D54" s="2">
        <v>118.4</v>
      </c>
      <c r="E54" s="2" t="s">
        <v>231</v>
      </c>
    </row>
    <row r="55" spans="1:5" x14ac:dyDescent="0.35">
      <c r="A55" s="2">
        <v>54</v>
      </c>
      <c r="B55" s="2">
        <v>103</v>
      </c>
      <c r="C55" s="2" t="s">
        <v>235</v>
      </c>
      <c r="D55" s="2">
        <v>299.3</v>
      </c>
      <c r="E55" s="2" t="s">
        <v>236</v>
      </c>
    </row>
    <row r="56" spans="1:5" x14ac:dyDescent="0.35">
      <c r="A56" s="2">
        <v>55</v>
      </c>
      <c r="B56" s="2">
        <v>22</v>
      </c>
      <c r="C56" s="2" t="s">
        <v>238</v>
      </c>
      <c r="D56" s="2">
        <v>156.5</v>
      </c>
      <c r="E56" s="2" t="s">
        <v>234</v>
      </c>
    </row>
    <row r="57" spans="1:5" x14ac:dyDescent="0.35">
      <c r="A57" s="2">
        <v>56</v>
      </c>
      <c r="B57" s="2">
        <v>4</v>
      </c>
      <c r="C57" s="2" t="s">
        <v>240</v>
      </c>
      <c r="D57" s="2">
        <v>162.80000000000001</v>
      </c>
      <c r="E57" s="2" t="s">
        <v>234</v>
      </c>
    </row>
    <row r="58" spans="1:5" x14ac:dyDescent="0.35">
      <c r="A58" s="2">
        <v>57</v>
      </c>
      <c r="B58" s="2">
        <v>154</v>
      </c>
      <c r="C58" s="2" t="s">
        <v>235</v>
      </c>
      <c r="D58" s="2">
        <v>90.9</v>
      </c>
      <c r="E58" s="2" t="s">
        <v>231</v>
      </c>
    </row>
    <row r="59" spans="1:5" x14ac:dyDescent="0.35">
      <c r="A59" s="2">
        <v>58</v>
      </c>
      <c r="B59" s="2">
        <v>186</v>
      </c>
      <c r="C59" s="2" t="s">
        <v>237</v>
      </c>
      <c r="D59" s="2">
        <v>248.7</v>
      </c>
      <c r="E59" s="2" t="s">
        <v>239</v>
      </c>
    </row>
    <row r="60" spans="1:5" x14ac:dyDescent="0.35">
      <c r="A60" s="2">
        <v>59</v>
      </c>
      <c r="B60" s="2">
        <v>29</v>
      </c>
      <c r="C60" s="2" t="s">
        <v>235</v>
      </c>
      <c r="D60" s="2">
        <v>223.4</v>
      </c>
      <c r="E60" s="2" t="s">
        <v>231</v>
      </c>
    </row>
    <row r="61" spans="1:5" x14ac:dyDescent="0.35">
      <c r="A61" s="2">
        <v>60</v>
      </c>
      <c r="B61" s="2">
        <v>109</v>
      </c>
      <c r="C61" s="2" t="s">
        <v>230</v>
      </c>
      <c r="D61" s="2">
        <v>105.2</v>
      </c>
      <c r="E61" s="2" t="s">
        <v>233</v>
      </c>
    </row>
    <row r="62" spans="1:5" x14ac:dyDescent="0.35">
      <c r="A62" s="2">
        <v>61</v>
      </c>
      <c r="B62" s="2">
        <v>98</v>
      </c>
      <c r="C62" s="2" t="s">
        <v>240</v>
      </c>
      <c r="D62" s="2">
        <v>70.599999999999994</v>
      </c>
      <c r="E62" s="2" t="s">
        <v>234</v>
      </c>
    </row>
    <row r="63" spans="1:5" x14ac:dyDescent="0.35">
      <c r="A63" s="2">
        <v>62</v>
      </c>
      <c r="B63" s="2">
        <v>37</v>
      </c>
      <c r="C63" s="2" t="s">
        <v>237</v>
      </c>
      <c r="D63" s="2">
        <v>220.1</v>
      </c>
      <c r="E63" s="2" t="s">
        <v>241</v>
      </c>
    </row>
    <row r="64" spans="1:5" x14ac:dyDescent="0.35">
      <c r="A64" s="2">
        <v>63</v>
      </c>
      <c r="B64" s="2">
        <v>75</v>
      </c>
      <c r="C64" s="2" t="s">
        <v>237</v>
      </c>
      <c r="D64" s="2">
        <v>213.6</v>
      </c>
      <c r="E64" s="2" t="s">
        <v>241</v>
      </c>
    </row>
    <row r="65" spans="1:5" x14ac:dyDescent="0.35">
      <c r="A65" s="2">
        <v>64</v>
      </c>
      <c r="B65" s="2">
        <v>70</v>
      </c>
      <c r="C65" s="2" t="s">
        <v>232</v>
      </c>
      <c r="D65" s="2">
        <v>118.3</v>
      </c>
      <c r="E65" s="2" t="s">
        <v>239</v>
      </c>
    </row>
    <row r="66" spans="1:5" x14ac:dyDescent="0.35">
      <c r="A66" s="2">
        <v>65</v>
      </c>
      <c r="B66" s="2">
        <v>146</v>
      </c>
      <c r="C66" s="2" t="s">
        <v>238</v>
      </c>
      <c r="D66" s="2">
        <v>287.7</v>
      </c>
      <c r="E66" s="2" t="s">
        <v>233</v>
      </c>
    </row>
    <row r="67" spans="1:5" x14ac:dyDescent="0.35">
      <c r="A67" s="2">
        <v>66</v>
      </c>
      <c r="B67" s="2">
        <v>128</v>
      </c>
      <c r="C67" s="2" t="s">
        <v>232</v>
      </c>
      <c r="D67" s="2">
        <v>87.8</v>
      </c>
      <c r="E67" s="2" t="s">
        <v>236</v>
      </c>
    </row>
    <row r="68" spans="1:5" x14ac:dyDescent="0.35">
      <c r="A68" s="2">
        <v>67</v>
      </c>
      <c r="B68" s="2">
        <v>85</v>
      </c>
      <c r="C68" s="2" t="s">
        <v>237</v>
      </c>
      <c r="D68" s="2">
        <v>158.1</v>
      </c>
      <c r="E68" s="2" t="s">
        <v>233</v>
      </c>
    </row>
    <row r="69" spans="1:5" x14ac:dyDescent="0.35">
      <c r="A69" s="2">
        <v>68</v>
      </c>
      <c r="B69" s="2">
        <v>42</v>
      </c>
      <c r="C69" s="2" t="s">
        <v>240</v>
      </c>
      <c r="D69" s="2">
        <v>285.89999999999998</v>
      </c>
      <c r="E69" s="2" t="s">
        <v>241</v>
      </c>
    </row>
    <row r="70" spans="1:5" x14ac:dyDescent="0.35">
      <c r="A70" s="2">
        <v>69</v>
      </c>
      <c r="B70" s="2">
        <v>100</v>
      </c>
      <c r="C70" s="2" t="s">
        <v>235</v>
      </c>
      <c r="D70" s="2">
        <v>154.9</v>
      </c>
      <c r="E70" s="2" t="s">
        <v>241</v>
      </c>
    </row>
    <row r="71" spans="1:5" x14ac:dyDescent="0.35">
      <c r="A71" s="2">
        <v>70</v>
      </c>
      <c r="B71" s="2">
        <v>41</v>
      </c>
      <c r="C71" s="2" t="s">
        <v>235</v>
      </c>
      <c r="D71" s="2">
        <v>209.6</v>
      </c>
      <c r="E71" s="2" t="s">
        <v>234</v>
      </c>
    </row>
    <row r="72" spans="1:5" x14ac:dyDescent="0.35">
      <c r="A72" s="2">
        <v>71</v>
      </c>
      <c r="B72" s="2">
        <v>166</v>
      </c>
      <c r="C72" s="2" t="s">
        <v>240</v>
      </c>
      <c r="D72" s="2">
        <v>149.4</v>
      </c>
      <c r="E72" s="2" t="s">
        <v>233</v>
      </c>
    </row>
    <row r="73" spans="1:5" x14ac:dyDescent="0.35">
      <c r="A73" s="2">
        <v>72</v>
      </c>
      <c r="B73" s="2">
        <v>34</v>
      </c>
      <c r="C73" s="2" t="s">
        <v>237</v>
      </c>
      <c r="D73" s="2">
        <v>118.6</v>
      </c>
      <c r="E73" s="2" t="s">
        <v>233</v>
      </c>
    </row>
    <row r="74" spans="1:5" x14ac:dyDescent="0.35">
      <c r="A74" s="2">
        <v>73</v>
      </c>
      <c r="B74" s="2">
        <v>17</v>
      </c>
      <c r="C74" s="2" t="s">
        <v>235</v>
      </c>
      <c r="D74" s="2">
        <v>296</v>
      </c>
      <c r="E74" s="2" t="s">
        <v>241</v>
      </c>
    </row>
    <row r="75" spans="1:5" x14ac:dyDescent="0.35">
      <c r="A75" s="2">
        <v>74</v>
      </c>
      <c r="B75" s="2">
        <v>165</v>
      </c>
      <c r="C75" s="2" t="s">
        <v>235</v>
      </c>
      <c r="D75" s="2">
        <v>152.30000000000001</v>
      </c>
      <c r="E75" s="2" t="s">
        <v>236</v>
      </c>
    </row>
    <row r="76" spans="1:5" x14ac:dyDescent="0.35">
      <c r="A76" s="2">
        <v>75</v>
      </c>
      <c r="B76" s="2">
        <v>153</v>
      </c>
      <c r="C76" s="2" t="s">
        <v>235</v>
      </c>
      <c r="D76" s="2">
        <v>273.5</v>
      </c>
      <c r="E76" s="2" t="s">
        <v>239</v>
      </c>
    </row>
    <row r="77" spans="1:5" x14ac:dyDescent="0.35">
      <c r="A77" s="2">
        <v>76</v>
      </c>
      <c r="B77" s="2">
        <v>122</v>
      </c>
      <c r="C77" s="2" t="s">
        <v>238</v>
      </c>
      <c r="D77" s="2">
        <v>107.5</v>
      </c>
      <c r="E77" s="2" t="s">
        <v>239</v>
      </c>
    </row>
    <row r="78" spans="1:5" x14ac:dyDescent="0.35">
      <c r="A78" s="2">
        <v>77</v>
      </c>
      <c r="B78" s="2">
        <v>76</v>
      </c>
      <c r="C78" s="2" t="s">
        <v>238</v>
      </c>
      <c r="D78" s="2">
        <v>103.3</v>
      </c>
      <c r="E78" s="2" t="s">
        <v>233</v>
      </c>
    </row>
    <row r="79" spans="1:5" x14ac:dyDescent="0.35">
      <c r="A79" s="2">
        <v>78</v>
      </c>
      <c r="B79" s="2">
        <v>87</v>
      </c>
      <c r="C79" s="2" t="s">
        <v>230</v>
      </c>
      <c r="D79" s="2">
        <v>57.8</v>
      </c>
      <c r="E79" s="2" t="s">
        <v>239</v>
      </c>
    </row>
    <row r="80" spans="1:5" x14ac:dyDescent="0.35">
      <c r="A80" s="2">
        <v>79</v>
      </c>
      <c r="B80" s="2">
        <v>117</v>
      </c>
      <c r="C80" s="2" t="s">
        <v>232</v>
      </c>
      <c r="D80" s="2">
        <v>212.9</v>
      </c>
      <c r="E80" s="2" t="s">
        <v>241</v>
      </c>
    </row>
    <row r="81" spans="1:5" x14ac:dyDescent="0.35">
      <c r="A81" s="2">
        <v>80</v>
      </c>
      <c r="B81" s="2">
        <v>106</v>
      </c>
      <c r="C81" s="2" t="s">
        <v>240</v>
      </c>
      <c r="D81" s="2">
        <v>142.1</v>
      </c>
      <c r="E81" s="2" t="s">
        <v>241</v>
      </c>
    </row>
    <row r="82" spans="1:5" x14ac:dyDescent="0.35">
      <c r="A82" s="2">
        <v>81</v>
      </c>
      <c r="B82" s="2">
        <v>86</v>
      </c>
      <c r="C82" s="2" t="s">
        <v>240</v>
      </c>
      <c r="D82" s="2">
        <v>266.10000000000002</v>
      </c>
      <c r="E82" s="2" t="s">
        <v>233</v>
      </c>
    </row>
    <row r="83" spans="1:5" x14ac:dyDescent="0.35">
      <c r="A83" s="2">
        <v>82</v>
      </c>
      <c r="B83" s="2">
        <v>27</v>
      </c>
      <c r="C83" s="2" t="s">
        <v>240</v>
      </c>
      <c r="D83" s="2">
        <v>168.3</v>
      </c>
      <c r="E83" s="2" t="s">
        <v>233</v>
      </c>
    </row>
    <row r="84" spans="1:5" x14ac:dyDescent="0.35">
      <c r="A84" s="2">
        <v>83</v>
      </c>
      <c r="B84" s="2">
        <v>57</v>
      </c>
      <c r="C84" s="2" t="s">
        <v>230</v>
      </c>
      <c r="D84" s="2">
        <v>292</v>
      </c>
      <c r="E84" s="2" t="s">
        <v>234</v>
      </c>
    </row>
    <row r="85" spans="1:5" x14ac:dyDescent="0.35">
      <c r="A85" s="2">
        <v>84</v>
      </c>
      <c r="B85" s="2">
        <v>31</v>
      </c>
      <c r="C85" s="2" t="s">
        <v>238</v>
      </c>
      <c r="D85" s="2">
        <v>96.4</v>
      </c>
      <c r="E85" s="2" t="s">
        <v>233</v>
      </c>
    </row>
    <row r="86" spans="1:5" x14ac:dyDescent="0.35">
      <c r="A86" s="2">
        <v>85</v>
      </c>
      <c r="B86" s="2">
        <v>134</v>
      </c>
      <c r="C86" s="2" t="s">
        <v>237</v>
      </c>
      <c r="D86" s="2">
        <v>267.2</v>
      </c>
      <c r="E86" s="2" t="s">
        <v>236</v>
      </c>
    </row>
    <row r="87" spans="1:5" x14ac:dyDescent="0.35">
      <c r="A87" s="2">
        <v>86</v>
      </c>
      <c r="B87" s="2">
        <v>168</v>
      </c>
      <c r="C87" s="2" t="s">
        <v>237</v>
      </c>
      <c r="D87" s="2">
        <v>244.1</v>
      </c>
      <c r="E87" s="2" t="s">
        <v>239</v>
      </c>
    </row>
    <row r="88" spans="1:5" x14ac:dyDescent="0.35">
      <c r="A88" s="2">
        <v>87</v>
      </c>
      <c r="B88" s="2">
        <v>98</v>
      </c>
      <c r="C88" s="2" t="s">
        <v>230</v>
      </c>
      <c r="D88" s="2">
        <v>242.7</v>
      </c>
      <c r="E88" s="2" t="s">
        <v>233</v>
      </c>
    </row>
    <row r="89" spans="1:5" x14ac:dyDescent="0.35">
      <c r="A89" s="2">
        <v>88</v>
      </c>
      <c r="B89" s="2">
        <v>12</v>
      </c>
      <c r="C89" s="2" t="s">
        <v>237</v>
      </c>
      <c r="D89" s="2">
        <v>261.2</v>
      </c>
      <c r="E89" s="2" t="s">
        <v>231</v>
      </c>
    </row>
    <row r="90" spans="1:5" x14ac:dyDescent="0.35">
      <c r="A90" s="2">
        <v>89</v>
      </c>
      <c r="B90" s="2">
        <v>53</v>
      </c>
      <c r="C90" s="2" t="s">
        <v>240</v>
      </c>
      <c r="D90" s="2">
        <v>240.3</v>
      </c>
      <c r="E90" s="2" t="s">
        <v>234</v>
      </c>
    </row>
    <row r="91" spans="1:5" x14ac:dyDescent="0.35">
      <c r="A91" s="2">
        <v>90</v>
      </c>
      <c r="B91" s="2">
        <v>199</v>
      </c>
      <c r="C91" s="2" t="s">
        <v>232</v>
      </c>
      <c r="D91" s="2">
        <v>206.6</v>
      </c>
      <c r="E91" s="2" t="s">
        <v>231</v>
      </c>
    </row>
    <row r="92" spans="1:5" x14ac:dyDescent="0.35">
      <c r="A92" s="2">
        <v>91</v>
      </c>
      <c r="B92" s="2">
        <v>138</v>
      </c>
      <c r="C92" s="2" t="s">
        <v>235</v>
      </c>
      <c r="D92" s="2">
        <v>82.8</v>
      </c>
      <c r="E92" s="2" t="s">
        <v>241</v>
      </c>
    </row>
    <row r="93" spans="1:5" x14ac:dyDescent="0.35">
      <c r="A93" s="2">
        <v>92</v>
      </c>
      <c r="B93" s="2">
        <v>173</v>
      </c>
      <c r="C93" s="2" t="s">
        <v>238</v>
      </c>
      <c r="D93" s="2">
        <v>58.1</v>
      </c>
      <c r="E93" s="2" t="s">
        <v>239</v>
      </c>
    </row>
    <row r="94" spans="1:5" x14ac:dyDescent="0.35">
      <c r="A94" s="2">
        <v>93</v>
      </c>
      <c r="B94" s="2">
        <v>145</v>
      </c>
      <c r="C94" s="2" t="s">
        <v>238</v>
      </c>
      <c r="D94" s="2">
        <v>280.2</v>
      </c>
      <c r="E94" s="2" t="s">
        <v>233</v>
      </c>
    </row>
    <row r="95" spans="1:5" x14ac:dyDescent="0.35">
      <c r="A95" s="2">
        <v>94</v>
      </c>
      <c r="B95" s="2">
        <v>154</v>
      </c>
      <c r="C95" s="2" t="s">
        <v>230</v>
      </c>
      <c r="D95" s="2">
        <v>204.2</v>
      </c>
      <c r="E95" s="2" t="s">
        <v>231</v>
      </c>
    </row>
    <row r="96" spans="1:5" x14ac:dyDescent="0.35">
      <c r="A96" s="2">
        <v>95</v>
      </c>
      <c r="B96" s="2">
        <v>190</v>
      </c>
      <c r="C96" s="2" t="s">
        <v>238</v>
      </c>
      <c r="D96" s="2">
        <v>249.1</v>
      </c>
      <c r="E96" s="2" t="s">
        <v>239</v>
      </c>
    </row>
    <row r="97" spans="1:5" x14ac:dyDescent="0.35">
      <c r="A97" s="2">
        <v>96</v>
      </c>
      <c r="B97" s="2">
        <v>122</v>
      </c>
      <c r="C97" s="2" t="s">
        <v>240</v>
      </c>
      <c r="D97" s="2">
        <v>170.4</v>
      </c>
      <c r="E97" s="2" t="s">
        <v>241</v>
      </c>
    </row>
    <row r="98" spans="1:5" x14ac:dyDescent="0.35">
      <c r="A98" s="2">
        <v>97</v>
      </c>
      <c r="B98" s="2">
        <v>46</v>
      </c>
      <c r="C98" s="2" t="s">
        <v>237</v>
      </c>
      <c r="D98" s="2">
        <v>79.3</v>
      </c>
      <c r="E98" s="2" t="s">
        <v>236</v>
      </c>
    </row>
    <row r="99" spans="1:5" x14ac:dyDescent="0.35">
      <c r="A99" s="2">
        <v>98</v>
      </c>
      <c r="B99" s="2">
        <v>64</v>
      </c>
      <c r="C99" s="2" t="s">
        <v>240</v>
      </c>
      <c r="D99" s="2">
        <v>81.3</v>
      </c>
      <c r="E99" s="2" t="s">
        <v>234</v>
      </c>
    </row>
    <row r="100" spans="1:5" x14ac:dyDescent="0.35">
      <c r="A100" s="2">
        <v>99</v>
      </c>
      <c r="B100" s="2">
        <v>130</v>
      </c>
      <c r="C100" s="2" t="s">
        <v>230</v>
      </c>
      <c r="D100" s="2">
        <v>221.4</v>
      </c>
      <c r="E100" s="2" t="s">
        <v>239</v>
      </c>
    </row>
    <row r="101" spans="1:5" x14ac:dyDescent="0.35">
      <c r="A101" s="2">
        <v>100</v>
      </c>
      <c r="B101" s="2">
        <v>54</v>
      </c>
      <c r="C101" s="2" t="s">
        <v>240</v>
      </c>
      <c r="D101" s="2">
        <v>157.6</v>
      </c>
      <c r="E101" s="2" t="s">
        <v>239</v>
      </c>
    </row>
    <row r="102" spans="1:5" x14ac:dyDescent="0.35">
      <c r="A102" s="2">
        <v>101</v>
      </c>
      <c r="B102" s="2">
        <v>107</v>
      </c>
      <c r="C102" s="2" t="s">
        <v>237</v>
      </c>
      <c r="D102" s="2">
        <v>100.1</v>
      </c>
      <c r="E102" s="2" t="s">
        <v>236</v>
      </c>
    </row>
    <row r="103" spans="1:5" x14ac:dyDescent="0.35">
      <c r="A103" s="2">
        <v>102</v>
      </c>
      <c r="B103" s="2">
        <v>193</v>
      </c>
      <c r="C103" s="2" t="s">
        <v>232</v>
      </c>
      <c r="D103" s="2">
        <v>172.9</v>
      </c>
      <c r="E103" s="2" t="s">
        <v>239</v>
      </c>
    </row>
    <row r="104" spans="1:5" x14ac:dyDescent="0.35">
      <c r="A104" s="2">
        <v>103</v>
      </c>
      <c r="B104" s="2">
        <v>51</v>
      </c>
      <c r="C104" s="2" t="s">
        <v>230</v>
      </c>
      <c r="D104" s="2">
        <v>66.099999999999994</v>
      </c>
      <c r="E104" s="2" t="s">
        <v>241</v>
      </c>
    </row>
    <row r="105" spans="1:5" x14ac:dyDescent="0.35">
      <c r="A105" s="2">
        <v>104</v>
      </c>
      <c r="B105" s="2">
        <v>181</v>
      </c>
      <c r="C105" s="2" t="s">
        <v>232</v>
      </c>
      <c r="D105" s="2">
        <v>195.5</v>
      </c>
      <c r="E105" s="2" t="s">
        <v>241</v>
      </c>
    </row>
    <row r="106" spans="1:5" x14ac:dyDescent="0.35">
      <c r="A106" s="2">
        <v>105</v>
      </c>
      <c r="B106" s="2">
        <v>36</v>
      </c>
      <c r="C106" s="2" t="s">
        <v>235</v>
      </c>
      <c r="D106" s="2">
        <v>117.2</v>
      </c>
      <c r="E106" s="2" t="s">
        <v>236</v>
      </c>
    </row>
    <row r="107" spans="1:5" x14ac:dyDescent="0.35">
      <c r="A107" s="2">
        <v>106</v>
      </c>
      <c r="B107" s="2">
        <v>115</v>
      </c>
      <c r="C107" s="2" t="s">
        <v>232</v>
      </c>
      <c r="D107" s="2">
        <v>249.4</v>
      </c>
      <c r="E107" s="2" t="s">
        <v>234</v>
      </c>
    </row>
    <row r="108" spans="1:5" x14ac:dyDescent="0.35">
      <c r="A108" s="2">
        <v>107</v>
      </c>
      <c r="B108" s="2">
        <v>26</v>
      </c>
      <c r="C108" s="2" t="s">
        <v>235</v>
      </c>
      <c r="D108" s="2">
        <v>127.6</v>
      </c>
      <c r="E108" s="2" t="s">
        <v>233</v>
      </c>
    </row>
    <row r="109" spans="1:5" x14ac:dyDescent="0.35">
      <c r="A109" s="2">
        <v>108</v>
      </c>
      <c r="B109" s="2">
        <v>29</v>
      </c>
      <c r="C109" s="2" t="s">
        <v>235</v>
      </c>
      <c r="D109" s="2">
        <v>163.80000000000001</v>
      </c>
      <c r="E109" s="2" t="s">
        <v>231</v>
      </c>
    </row>
    <row r="110" spans="1:5" x14ac:dyDescent="0.35">
      <c r="A110" s="2">
        <v>109</v>
      </c>
      <c r="B110" s="2">
        <v>149</v>
      </c>
      <c r="C110" s="2" t="s">
        <v>232</v>
      </c>
      <c r="D110" s="2">
        <v>52.9</v>
      </c>
      <c r="E110" s="2" t="s">
        <v>233</v>
      </c>
    </row>
    <row r="111" spans="1:5" x14ac:dyDescent="0.35">
      <c r="A111" s="2">
        <v>110</v>
      </c>
      <c r="B111" s="2">
        <v>11</v>
      </c>
      <c r="C111" s="2" t="s">
        <v>230</v>
      </c>
      <c r="D111" s="2">
        <v>68.099999999999994</v>
      </c>
      <c r="E111" s="2" t="s">
        <v>239</v>
      </c>
    </row>
    <row r="112" spans="1:5" x14ac:dyDescent="0.35">
      <c r="A112" s="2">
        <v>111</v>
      </c>
      <c r="B112" s="2">
        <v>40</v>
      </c>
      <c r="C112" s="2" t="s">
        <v>237</v>
      </c>
      <c r="D112" s="2">
        <v>148.1</v>
      </c>
      <c r="E112" s="2" t="s">
        <v>231</v>
      </c>
    </row>
    <row r="113" spans="1:5" x14ac:dyDescent="0.35">
      <c r="A113" s="2">
        <v>112</v>
      </c>
      <c r="B113" s="2">
        <v>11</v>
      </c>
      <c r="C113" s="2" t="s">
        <v>240</v>
      </c>
      <c r="D113" s="2">
        <v>170</v>
      </c>
      <c r="E113" s="2" t="s">
        <v>236</v>
      </c>
    </row>
    <row r="114" spans="1:5" x14ac:dyDescent="0.35">
      <c r="A114" s="2">
        <v>113</v>
      </c>
      <c r="B114" s="2">
        <v>164</v>
      </c>
      <c r="C114" s="2" t="s">
        <v>240</v>
      </c>
      <c r="D114" s="2">
        <v>200</v>
      </c>
      <c r="E114" s="2" t="s">
        <v>236</v>
      </c>
    </row>
    <row r="115" spans="1:5" x14ac:dyDescent="0.35">
      <c r="A115" s="2">
        <v>114</v>
      </c>
      <c r="B115" s="2">
        <v>113</v>
      </c>
      <c r="C115" s="2" t="s">
        <v>237</v>
      </c>
      <c r="D115" s="2">
        <v>122.9</v>
      </c>
      <c r="E115" s="2" t="s">
        <v>234</v>
      </c>
    </row>
    <row r="116" spans="1:5" x14ac:dyDescent="0.35">
      <c r="A116" s="2">
        <v>115</v>
      </c>
      <c r="B116" s="2">
        <v>187</v>
      </c>
      <c r="C116" s="2" t="s">
        <v>235</v>
      </c>
      <c r="D116" s="2">
        <v>223.7</v>
      </c>
      <c r="E116" s="2" t="s">
        <v>231</v>
      </c>
    </row>
    <row r="117" spans="1:5" x14ac:dyDescent="0.35">
      <c r="A117" s="2">
        <v>116</v>
      </c>
      <c r="B117" s="2">
        <v>39</v>
      </c>
      <c r="C117" s="2" t="s">
        <v>235</v>
      </c>
      <c r="D117" s="2">
        <v>265</v>
      </c>
      <c r="E117" s="2" t="s">
        <v>241</v>
      </c>
    </row>
    <row r="118" spans="1:5" x14ac:dyDescent="0.35">
      <c r="A118" s="2">
        <v>117</v>
      </c>
      <c r="B118" s="2">
        <v>54</v>
      </c>
      <c r="C118" s="2" t="s">
        <v>230</v>
      </c>
      <c r="D118" s="2">
        <v>245</v>
      </c>
      <c r="E118" s="2" t="s">
        <v>231</v>
      </c>
    </row>
    <row r="119" spans="1:5" x14ac:dyDescent="0.35">
      <c r="A119" s="2">
        <v>118</v>
      </c>
      <c r="B119" s="2">
        <v>98</v>
      </c>
      <c r="C119" s="2" t="s">
        <v>238</v>
      </c>
      <c r="D119" s="2">
        <v>59.9</v>
      </c>
      <c r="E119" s="2" t="s">
        <v>239</v>
      </c>
    </row>
    <row r="120" spans="1:5" x14ac:dyDescent="0.35">
      <c r="A120" s="2">
        <v>119</v>
      </c>
      <c r="B120" s="2">
        <v>55</v>
      </c>
      <c r="C120" s="2" t="s">
        <v>232</v>
      </c>
      <c r="D120" s="2">
        <v>170.1</v>
      </c>
      <c r="E120" s="2" t="s">
        <v>241</v>
      </c>
    </row>
    <row r="121" spans="1:5" x14ac:dyDescent="0.35">
      <c r="A121" s="2">
        <v>120</v>
      </c>
      <c r="B121" s="2">
        <v>111</v>
      </c>
      <c r="C121" s="2" t="s">
        <v>235</v>
      </c>
      <c r="D121" s="2">
        <v>76.2</v>
      </c>
      <c r="E121" s="2" t="s">
        <v>236</v>
      </c>
    </row>
    <row r="122" spans="1:5" x14ac:dyDescent="0.35">
      <c r="A122" s="2">
        <v>121</v>
      </c>
      <c r="B122" s="2">
        <v>152</v>
      </c>
      <c r="C122" s="2" t="s">
        <v>240</v>
      </c>
      <c r="D122" s="2">
        <v>110.5</v>
      </c>
      <c r="E122" s="2" t="s">
        <v>231</v>
      </c>
    </row>
    <row r="123" spans="1:5" x14ac:dyDescent="0.35">
      <c r="A123" s="2">
        <v>122</v>
      </c>
      <c r="B123" s="2">
        <v>150</v>
      </c>
      <c r="C123" s="2" t="s">
        <v>230</v>
      </c>
      <c r="D123" s="2">
        <v>296.7</v>
      </c>
      <c r="E123" s="2" t="s">
        <v>233</v>
      </c>
    </row>
    <row r="124" spans="1:5" x14ac:dyDescent="0.35">
      <c r="A124" s="2">
        <v>123</v>
      </c>
      <c r="B124" s="2">
        <v>69</v>
      </c>
      <c r="C124" s="2" t="s">
        <v>232</v>
      </c>
      <c r="D124" s="2">
        <v>85.6</v>
      </c>
      <c r="E124" s="2" t="s">
        <v>234</v>
      </c>
    </row>
    <row r="125" spans="1:5" x14ac:dyDescent="0.35">
      <c r="A125" s="2">
        <v>124</v>
      </c>
      <c r="B125" s="2">
        <v>56</v>
      </c>
      <c r="C125" s="2" t="s">
        <v>230</v>
      </c>
      <c r="D125" s="2">
        <v>174.7</v>
      </c>
      <c r="E125" s="2" t="s">
        <v>233</v>
      </c>
    </row>
    <row r="126" spans="1:5" x14ac:dyDescent="0.35">
      <c r="A126" s="2">
        <v>125</v>
      </c>
      <c r="B126" s="2">
        <v>33</v>
      </c>
      <c r="C126" s="2" t="s">
        <v>232</v>
      </c>
      <c r="D126" s="2">
        <v>204.5</v>
      </c>
      <c r="E126" s="2" t="s">
        <v>234</v>
      </c>
    </row>
    <row r="127" spans="1:5" x14ac:dyDescent="0.35">
      <c r="A127" s="2">
        <v>126</v>
      </c>
      <c r="B127" s="2">
        <v>36</v>
      </c>
      <c r="C127" s="2" t="s">
        <v>232</v>
      </c>
      <c r="D127" s="2">
        <v>225.6</v>
      </c>
      <c r="E127" s="2" t="s">
        <v>239</v>
      </c>
    </row>
    <row r="128" spans="1:5" x14ac:dyDescent="0.35">
      <c r="A128" s="2">
        <v>127</v>
      </c>
      <c r="B128" s="2">
        <v>148</v>
      </c>
      <c r="C128" s="2" t="s">
        <v>237</v>
      </c>
      <c r="D128" s="2">
        <v>189.9</v>
      </c>
      <c r="E128" s="2" t="s">
        <v>233</v>
      </c>
    </row>
    <row r="129" spans="1:5" x14ac:dyDescent="0.35">
      <c r="A129" s="2">
        <v>128</v>
      </c>
      <c r="B129" s="2">
        <v>81</v>
      </c>
      <c r="C129" s="2" t="s">
        <v>235</v>
      </c>
      <c r="D129" s="2">
        <v>52.4</v>
      </c>
      <c r="E129" s="2" t="s">
        <v>231</v>
      </c>
    </row>
    <row r="130" spans="1:5" x14ac:dyDescent="0.35">
      <c r="A130" s="2">
        <v>129</v>
      </c>
      <c r="B130" s="2">
        <v>190</v>
      </c>
      <c r="C130" s="2" t="s">
        <v>230</v>
      </c>
      <c r="D130" s="2">
        <v>131.6</v>
      </c>
      <c r="E130" s="2" t="s">
        <v>231</v>
      </c>
    </row>
    <row r="131" spans="1:5" x14ac:dyDescent="0.35">
      <c r="A131" s="2">
        <v>130</v>
      </c>
      <c r="B131" s="2">
        <v>109</v>
      </c>
      <c r="C131" s="2" t="s">
        <v>230</v>
      </c>
      <c r="D131" s="2">
        <v>179.4</v>
      </c>
      <c r="E131" s="2" t="s">
        <v>233</v>
      </c>
    </row>
    <row r="132" spans="1:5" x14ac:dyDescent="0.35">
      <c r="A132" s="2">
        <v>131</v>
      </c>
      <c r="B132" s="2">
        <v>154</v>
      </c>
      <c r="C132" s="2" t="s">
        <v>237</v>
      </c>
      <c r="D132" s="2">
        <v>72</v>
      </c>
      <c r="E132" s="2" t="s">
        <v>231</v>
      </c>
    </row>
    <row r="133" spans="1:5" x14ac:dyDescent="0.35">
      <c r="A133" s="2">
        <v>132</v>
      </c>
      <c r="B133" s="2">
        <v>194</v>
      </c>
      <c r="C133" s="2" t="s">
        <v>240</v>
      </c>
      <c r="D133" s="2">
        <v>137.69999999999999</v>
      </c>
      <c r="E133" s="2" t="s">
        <v>239</v>
      </c>
    </row>
    <row r="134" spans="1:5" x14ac:dyDescent="0.35">
      <c r="A134" s="2">
        <v>133</v>
      </c>
      <c r="B134" s="2">
        <v>73</v>
      </c>
      <c r="C134" s="2" t="s">
        <v>240</v>
      </c>
      <c r="D134" s="2">
        <v>58.3</v>
      </c>
      <c r="E134" s="2" t="s">
        <v>241</v>
      </c>
    </row>
    <row r="135" spans="1:5" x14ac:dyDescent="0.35">
      <c r="A135" s="2">
        <v>134</v>
      </c>
      <c r="B135" s="2">
        <v>40</v>
      </c>
      <c r="C135" s="2" t="s">
        <v>235</v>
      </c>
      <c r="D135" s="2">
        <v>69.599999999999994</v>
      </c>
      <c r="E135" s="2" t="s">
        <v>239</v>
      </c>
    </row>
    <row r="136" spans="1:5" x14ac:dyDescent="0.35">
      <c r="A136" s="2">
        <v>135</v>
      </c>
      <c r="B136" s="2">
        <v>17</v>
      </c>
      <c r="C136" s="2" t="s">
        <v>235</v>
      </c>
      <c r="D136" s="2">
        <v>149.19999999999999</v>
      </c>
      <c r="E136" s="2" t="s">
        <v>234</v>
      </c>
    </row>
    <row r="137" spans="1:5" x14ac:dyDescent="0.35">
      <c r="A137" s="2">
        <v>136</v>
      </c>
      <c r="B137" s="2">
        <v>129</v>
      </c>
      <c r="C137" s="2" t="s">
        <v>238</v>
      </c>
      <c r="D137" s="2">
        <v>83.2</v>
      </c>
      <c r="E137" s="2" t="s">
        <v>239</v>
      </c>
    </row>
    <row r="138" spans="1:5" x14ac:dyDescent="0.35">
      <c r="A138" s="2">
        <v>137</v>
      </c>
      <c r="B138" s="2">
        <v>61</v>
      </c>
      <c r="C138" s="2" t="s">
        <v>237</v>
      </c>
      <c r="D138" s="2">
        <v>191.9</v>
      </c>
      <c r="E138" s="2" t="s">
        <v>234</v>
      </c>
    </row>
    <row r="139" spans="1:5" x14ac:dyDescent="0.35">
      <c r="A139" s="2">
        <v>138</v>
      </c>
      <c r="B139" s="2">
        <v>171</v>
      </c>
      <c r="C139" s="2" t="s">
        <v>240</v>
      </c>
      <c r="D139" s="2">
        <v>222.4</v>
      </c>
      <c r="E139" s="2" t="s">
        <v>231</v>
      </c>
    </row>
    <row r="140" spans="1:5" x14ac:dyDescent="0.35">
      <c r="A140" s="2">
        <v>139</v>
      </c>
      <c r="B140" s="2">
        <v>104</v>
      </c>
      <c r="C140" s="2" t="s">
        <v>232</v>
      </c>
      <c r="D140" s="2">
        <v>250.1</v>
      </c>
      <c r="E140" s="2" t="s">
        <v>241</v>
      </c>
    </row>
    <row r="141" spans="1:5" x14ac:dyDescent="0.35">
      <c r="A141" s="2">
        <v>140</v>
      </c>
      <c r="B141" s="2">
        <v>42</v>
      </c>
      <c r="C141" s="2" t="s">
        <v>230</v>
      </c>
      <c r="D141" s="2">
        <v>100</v>
      </c>
      <c r="E141" s="2" t="s">
        <v>231</v>
      </c>
    </row>
    <row r="142" spans="1:5" x14ac:dyDescent="0.35">
      <c r="A142" s="2">
        <v>141</v>
      </c>
      <c r="B142" s="2">
        <v>25</v>
      </c>
      <c r="C142" s="2" t="s">
        <v>235</v>
      </c>
      <c r="D142" s="2">
        <v>91.9</v>
      </c>
      <c r="E142" s="2" t="s">
        <v>236</v>
      </c>
    </row>
    <row r="143" spans="1:5" x14ac:dyDescent="0.35">
      <c r="A143" s="2">
        <v>142</v>
      </c>
      <c r="B143" s="2">
        <v>39</v>
      </c>
      <c r="C143" s="2" t="s">
        <v>230</v>
      </c>
      <c r="D143" s="2">
        <v>76.099999999999994</v>
      </c>
      <c r="E143" s="2" t="s">
        <v>231</v>
      </c>
    </row>
    <row r="144" spans="1:5" x14ac:dyDescent="0.35">
      <c r="A144" s="2">
        <v>143</v>
      </c>
      <c r="B144" s="2">
        <v>35</v>
      </c>
      <c r="C144" s="2" t="s">
        <v>230</v>
      </c>
      <c r="D144" s="2">
        <v>209.1</v>
      </c>
      <c r="E144" s="2" t="s">
        <v>234</v>
      </c>
    </row>
    <row r="145" spans="1:5" x14ac:dyDescent="0.35">
      <c r="A145" s="2">
        <v>144</v>
      </c>
      <c r="B145" s="2">
        <v>131</v>
      </c>
      <c r="C145" s="2" t="s">
        <v>238</v>
      </c>
      <c r="D145" s="2">
        <v>226.6</v>
      </c>
      <c r="E145" s="2" t="s">
        <v>231</v>
      </c>
    </row>
    <row r="146" spans="1:5" x14ac:dyDescent="0.35">
      <c r="A146" s="2">
        <v>145</v>
      </c>
      <c r="B146" s="2">
        <v>108</v>
      </c>
      <c r="C146" s="2" t="s">
        <v>240</v>
      </c>
      <c r="D146" s="2">
        <v>57.9</v>
      </c>
      <c r="E146" s="2" t="s">
        <v>231</v>
      </c>
    </row>
    <row r="147" spans="1:5" x14ac:dyDescent="0.35">
      <c r="A147" s="2">
        <v>146</v>
      </c>
      <c r="B147" s="2">
        <v>172</v>
      </c>
      <c r="C147" s="2" t="s">
        <v>235</v>
      </c>
      <c r="D147" s="2">
        <v>284.10000000000002</v>
      </c>
      <c r="E147" s="2" t="s">
        <v>241</v>
      </c>
    </row>
    <row r="148" spans="1:5" x14ac:dyDescent="0.35">
      <c r="A148" s="2">
        <v>147</v>
      </c>
      <c r="B148" s="2">
        <v>179</v>
      </c>
      <c r="C148" s="2" t="s">
        <v>230</v>
      </c>
      <c r="D148" s="2">
        <v>63</v>
      </c>
      <c r="E148" s="2" t="s">
        <v>231</v>
      </c>
    </row>
    <row r="149" spans="1:5" x14ac:dyDescent="0.35">
      <c r="A149" s="2">
        <v>148</v>
      </c>
      <c r="B149" s="2">
        <v>102</v>
      </c>
      <c r="C149" s="2" t="s">
        <v>235</v>
      </c>
      <c r="D149" s="2">
        <v>185.3</v>
      </c>
      <c r="E149" s="2" t="s">
        <v>241</v>
      </c>
    </row>
    <row r="150" spans="1:5" x14ac:dyDescent="0.35">
      <c r="A150" s="2">
        <v>149</v>
      </c>
      <c r="B150" s="2">
        <v>98</v>
      </c>
      <c r="C150" s="2" t="s">
        <v>232</v>
      </c>
      <c r="D150" s="2">
        <v>227.3</v>
      </c>
      <c r="E150" s="2" t="s">
        <v>233</v>
      </c>
    </row>
    <row r="151" spans="1:5" x14ac:dyDescent="0.35">
      <c r="A151" s="2">
        <v>150</v>
      </c>
      <c r="B151" s="2">
        <v>12</v>
      </c>
      <c r="C151" s="2" t="s">
        <v>238</v>
      </c>
      <c r="D151" s="2">
        <v>267.7</v>
      </c>
      <c r="E151" s="2" t="s">
        <v>236</v>
      </c>
    </row>
    <row r="152" spans="1:5" x14ac:dyDescent="0.35">
      <c r="A152" s="2">
        <v>151</v>
      </c>
      <c r="B152" s="2">
        <v>19</v>
      </c>
      <c r="C152" s="2" t="s">
        <v>232</v>
      </c>
      <c r="D152" s="2">
        <v>228.5</v>
      </c>
      <c r="E152" s="2" t="s">
        <v>241</v>
      </c>
    </row>
    <row r="153" spans="1:5" x14ac:dyDescent="0.35">
      <c r="A153" s="2">
        <v>152</v>
      </c>
      <c r="B153" s="2">
        <v>101</v>
      </c>
      <c r="C153" s="2" t="s">
        <v>235</v>
      </c>
      <c r="D153" s="2">
        <v>250.4</v>
      </c>
      <c r="E153" s="2" t="s">
        <v>234</v>
      </c>
    </row>
    <row r="154" spans="1:5" x14ac:dyDescent="0.35">
      <c r="A154" s="2">
        <v>153</v>
      </c>
      <c r="B154" s="2">
        <v>44</v>
      </c>
      <c r="C154" s="2" t="s">
        <v>235</v>
      </c>
      <c r="D154" s="2">
        <v>134.9</v>
      </c>
      <c r="E154" s="2" t="s">
        <v>233</v>
      </c>
    </row>
    <row r="155" spans="1:5" x14ac:dyDescent="0.35">
      <c r="A155" s="2">
        <v>154</v>
      </c>
      <c r="B155" s="2">
        <v>187</v>
      </c>
      <c r="C155" s="2" t="s">
        <v>240</v>
      </c>
      <c r="D155" s="2">
        <v>253.7</v>
      </c>
      <c r="E155" s="2" t="s">
        <v>241</v>
      </c>
    </row>
    <row r="156" spans="1:5" x14ac:dyDescent="0.35">
      <c r="A156" s="2">
        <v>155</v>
      </c>
      <c r="B156" s="2">
        <v>49</v>
      </c>
      <c r="C156" s="2" t="s">
        <v>230</v>
      </c>
      <c r="D156" s="2">
        <v>70</v>
      </c>
      <c r="E156" s="2" t="s">
        <v>241</v>
      </c>
    </row>
    <row r="157" spans="1:5" x14ac:dyDescent="0.35">
      <c r="A157" s="2">
        <v>156</v>
      </c>
      <c r="B157" s="2">
        <v>189</v>
      </c>
      <c r="C157" s="2" t="s">
        <v>230</v>
      </c>
      <c r="D157" s="2">
        <v>273.7</v>
      </c>
      <c r="E157" s="2" t="s">
        <v>236</v>
      </c>
    </row>
    <row r="158" spans="1:5" x14ac:dyDescent="0.35">
      <c r="A158" s="2">
        <v>157</v>
      </c>
      <c r="B158" s="2">
        <v>17</v>
      </c>
      <c r="C158" s="2" t="s">
        <v>232</v>
      </c>
      <c r="D158" s="2">
        <v>186.9</v>
      </c>
      <c r="E158" s="2" t="s">
        <v>234</v>
      </c>
    </row>
    <row r="159" spans="1:5" x14ac:dyDescent="0.35">
      <c r="A159" s="2">
        <v>158</v>
      </c>
      <c r="B159" s="2">
        <v>74</v>
      </c>
      <c r="C159" s="2" t="s">
        <v>238</v>
      </c>
      <c r="D159" s="2">
        <v>254.3</v>
      </c>
      <c r="E159" s="2" t="s">
        <v>239</v>
      </c>
    </row>
    <row r="160" spans="1:5" x14ac:dyDescent="0.35">
      <c r="A160" s="2">
        <v>159</v>
      </c>
      <c r="B160" s="2">
        <v>57</v>
      </c>
      <c r="C160" s="2" t="s">
        <v>237</v>
      </c>
      <c r="D160" s="2">
        <v>163.1</v>
      </c>
      <c r="E160" s="2" t="s">
        <v>239</v>
      </c>
    </row>
    <row r="161" spans="1:5" x14ac:dyDescent="0.35">
      <c r="A161" s="2">
        <v>160</v>
      </c>
      <c r="B161" s="2">
        <v>55</v>
      </c>
      <c r="C161" s="2" t="s">
        <v>230</v>
      </c>
      <c r="D161" s="2">
        <v>210.9</v>
      </c>
      <c r="E161" s="2" t="s">
        <v>241</v>
      </c>
    </row>
    <row r="162" spans="1:5" x14ac:dyDescent="0.35">
      <c r="A162" s="2">
        <v>161</v>
      </c>
      <c r="B162" s="2">
        <v>47</v>
      </c>
      <c r="C162" s="2" t="s">
        <v>240</v>
      </c>
      <c r="D162" s="2">
        <v>181.6</v>
      </c>
      <c r="E162" s="2" t="s">
        <v>231</v>
      </c>
    </row>
    <row r="163" spans="1:5" x14ac:dyDescent="0.35">
      <c r="A163" s="2">
        <v>162</v>
      </c>
      <c r="B163" s="2">
        <v>12</v>
      </c>
      <c r="C163" s="2" t="s">
        <v>232</v>
      </c>
      <c r="D163" s="2">
        <v>232.9</v>
      </c>
      <c r="E163" s="2" t="s">
        <v>234</v>
      </c>
    </row>
    <row r="164" spans="1:5" x14ac:dyDescent="0.35">
      <c r="A164" s="2">
        <v>163</v>
      </c>
      <c r="B164" s="2">
        <v>62</v>
      </c>
      <c r="C164" s="2" t="s">
        <v>232</v>
      </c>
      <c r="D164" s="2">
        <v>70.400000000000006</v>
      </c>
      <c r="E164" s="2" t="s">
        <v>233</v>
      </c>
    </row>
    <row r="165" spans="1:5" x14ac:dyDescent="0.35">
      <c r="A165" s="2">
        <v>164</v>
      </c>
      <c r="B165" s="2">
        <v>80</v>
      </c>
      <c r="C165" s="2" t="s">
        <v>237</v>
      </c>
      <c r="D165" s="2">
        <v>65.099999999999994</v>
      </c>
      <c r="E165" s="2" t="s">
        <v>231</v>
      </c>
    </row>
    <row r="166" spans="1:5" x14ac:dyDescent="0.35">
      <c r="A166" s="2">
        <v>165</v>
      </c>
      <c r="B166" s="2">
        <v>83</v>
      </c>
      <c r="C166" s="2" t="s">
        <v>240</v>
      </c>
      <c r="D166" s="2">
        <v>111.8</v>
      </c>
      <c r="E166" s="2" t="s">
        <v>231</v>
      </c>
    </row>
    <row r="167" spans="1:5" x14ac:dyDescent="0.35">
      <c r="A167" s="2">
        <v>166</v>
      </c>
      <c r="B167" s="2">
        <v>8</v>
      </c>
      <c r="C167" s="2" t="s">
        <v>238</v>
      </c>
      <c r="D167" s="2">
        <v>89.9</v>
      </c>
      <c r="E167" s="2" t="s">
        <v>234</v>
      </c>
    </row>
    <row r="168" spans="1:5" x14ac:dyDescent="0.35">
      <c r="A168" s="2">
        <v>167</v>
      </c>
      <c r="B168" s="2">
        <v>149</v>
      </c>
      <c r="C168" s="2" t="s">
        <v>240</v>
      </c>
      <c r="D168" s="2">
        <v>267.89999999999998</v>
      </c>
      <c r="E168" s="2" t="s">
        <v>241</v>
      </c>
    </row>
    <row r="169" spans="1:5" x14ac:dyDescent="0.35">
      <c r="A169" s="2">
        <v>168</v>
      </c>
      <c r="B169" s="2">
        <v>81</v>
      </c>
      <c r="C169" s="2" t="s">
        <v>238</v>
      </c>
      <c r="D169" s="2">
        <v>104.8</v>
      </c>
      <c r="E169" s="2" t="s">
        <v>241</v>
      </c>
    </row>
    <row r="170" spans="1:5" x14ac:dyDescent="0.35">
      <c r="A170" s="2">
        <v>169</v>
      </c>
      <c r="B170" s="2">
        <v>118</v>
      </c>
      <c r="C170" s="2" t="s">
        <v>240</v>
      </c>
      <c r="D170" s="2">
        <v>294</v>
      </c>
      <c r="E170" s="2" t="s">
        <v>241</v>
      </c>
    </row>
    <row r="171" spans="1:5" x14ac:dyDescent="0.35">
      <c r="A171" s="2">
        <v>170</v>
      </c>
      <c r="B171" s="2">
        <v>198</v>
      </c>
      <c r="C171" s="2" t="s">
        <v>240</v>
      </c>
      <c r="D171" s="2">
        <v>134.19999999999999</v>
      </c>
      <c r="E171" s="2" t="s">
        <v>241</v>
      </c>
    </row>
    <row r="172" spans="1:5" x14ac:dyDescent="0.35">
      <c r="A172" s="2">
        <v>171</v>
      </c>
      <c r="B172" s="2">
        <v>200</v>
      </c>
      <c r="C172" s="2" t="s">
        <v>235</v>
      </c>
      <c r="D172" s="2">
        <v>95.5</v>
      </c>
      <c r="E172" s="2" t="s">
        <v>239</v>
      </c>
    </row>
    <row r="173" spans="1:5" x14ac:dyDescent="0.35">
      <c r="A173" s="2">
        <v>172</v>
      </c>
      <c r="B173" s="2">
        <v>25</v>
      </c>
      <c r="C173" s="2" t="s">
        <v>232</v>
      </c>
      <c r="D173" s="2">
        <v>247.4</v>
      </c>
      <c r="E173" s="2" t="s">
        <v>241</v>
      </c>
    </row>
    <row r="174" spans="1:5" x14ac:dyDescent="0.35">
      <c r="A174" s="2">
        <v>173</v>
      </c>
      <c r="B174" s="2">
        <v>89</v>
      </c>
      <c r="C174" s="2" t="s">
        <v>240</v>
      </c>
      <c r="D174" s="2">
        <v>214.7</v>
      </c>
      <c r="E174" s="2" t="s">
        <v>239</v>
      </c>
    </row>
    <row r="175" spans="1:5" x14ac:dyDescent="0.35">
      <c r="A175" s="2">
        <v>174</v>
      </c>
      <c r="B175" s="2">
        <v>12</v>
      </c>
      <c r="C175" s="2" t="s">
        <v>237</v>
      </c>
      <c r="D175" s="2">
        <v>174.5</v>
      </c>
      <c r="E175" s="2" t="s">
        <v>239</v>
      </c>
    </row>
    <row r="176" spans="1:5" x14ac:dyDescent="0.35">
      <c r="A176" s="2">
        <v>175</v>
      </c>
      <c r="B176" s="2">
        <v>143</v>
      </c>
      <c r="C176" s="2" t="s">
        <v>240</v>
      </c>
      <c r="D176" s="2">
        <v>188.8</v>
      </c>
      <c r="E176" s="2" t="s">
        <v>241</v>
      </c>
    </row>
    <row r="177" spans="1:5" x14ac:dyDescent="0.35">
      <c r="A177" s="2">
        <v>176</v>
      </c>
      <c r="B177" s="2">
        <v>59</v>
      </c>
      <c r="C177" s="2" t="s">
        <v>230</v>
      </c>
      <c r="D177" s="2">
        <v>229.8</v>
      </c>
      <c r="E177" s="2" t="s">
        <v>236</v>
      </c>
    </row>
    <row r="178" spans="1:5" x14ac:dyDescent="0.35">
      <c r="A178" s="2">
        <v>177</v>
      </c>
      <c r="B178" s="2">
        <v>154</v>
      </c>
      <c r="C178" s="2" t="s">
        <v>232</v>
      </c>
      <c r="D178" s="2">
        <v>107.1</v>
      </c>
      <c r="E178" s="2" t="s">
        <v>233</v>
      </c>
    </row>
    <row r="179" spans="1:5" x14ac:dyDescent="0.35">
      <c r="A179" s="2">
        <v>178</v>
      </c>
      <c r="B179" s="2">
        <v>109</v>
      </c>
      <c r="C179" s="2" t="s">
        <v>230</v>
      </c>
      <c r="D179" s="2">
        <v>299.10000000000002</v>
      </c>
      <c r="E179" s="2" t="s">
        <v>231</v>
      </c>
    </row>
    <row r="180" spans="1:5" x14ac:dyDescent="0.35">
      <c r="A180" s="2">
        <v>179</v>
      </c>
      <c r="B180" s="2">
        <v>26</v>
      </c>
      <c r="C180" s="2" t="s">
        <v>232</v>
      </c>
      <c r="D180" s="2">
        <v>293.7</v>
      </c>
      <c r="E180" s="2" t="s">
        <v>239</v>
      </c>
    </row>
    <row r="181" spans="1:5" x14ac:dyDescent="0.35">
      <c r="A181" s="2">
        <v>180</v>
      </c>
      <c r="B181" s="2">
        <v>47</v>
      </c>
      <c r="C181" s="2" t="s">
        <v>230</v>
      </c>
      <c r="D181" s="2">
        <v>212.6</v>
      </c>
      <c r="E181" s="2" t="s">
        <v>234</v>
      </c>
    </row>
    <row r="182" spans="1:5" x14ac:dyDescent="0.35">
      <c r="A182" s="2">
        <v>181</v>
      </c>
      <c r="B182" s="2">
        <v>32</v>
      </c>
      <c r="C182" s="2" t="s">
        <v>240</v>
      </c>
      <c r="D182" s="2">
        <v>99.9</v>
      </c>
      <c r="E182" s="2" t="s">
        <v>234</v>
      </c>
    </row>
    <row r="183" spans="1:5" x14ac:dyDescent="0.35">
      <c r="A183" s="2">
        <v>182</v>
      </c>
      <c r="B183" s="2">
        <v>10</v>
      </c>
      <c r="C183" s="2" t="s">
        <v>240</v>
      </c>
      <c r="D183" s="2">
        <v>220.1</v>
      </c>
      <c r="E183" s="2" t="s">
        <v>233</v>
      </c>
    </row>
    <row r="184" spans="1:5" x14ac:dyDescent="0.35">
      <c r="A184" s="2">
        <v>183</v>
      </c>
      <c r="B184" s="2">
        <v>16</v>
      </c>
      <c r="C184" s="2" t="s">
        <v>235</v>
      </c>
      <c r="D184" s="2">
        <v>68</v>
      </c>
      <c r="E184" s="2" t="s">
        <v>234</v>
      </c>
    </row>
    <row r="185" spans="1:5" x14ac:dyDescent="0.35">
      <c r="A185" s="2">
        <v>184</v>
      </c>
      <c r="B185" s="2">
        <v>199</v>
      </c>
      <c r="C185" s="2" t="s">
        <v>237</v>
      </c>
      <c r="D185" s="2">
        <v>57.7</v>
      </c>
      <c r="E185" s="2" t="s">
        <v>236</v>
      </c>
    </row>
    <row r="186" spans="1:5" x14ac:dyDescent="0.35">
      <c r="A186" s="2">
        <v>185</v>
      </c>
      <c r="B186" s="2">
        <v>145</v>
      </c>
      <c r="C186" s="2" t="s">
        <v>230</v>
      </c>
      <c r="D186" s="2">
        <v>114.4</v>
      </c>
      <c r="E186" s="2" t="s">
        <v>234</v>
      </c>
    </row>
    <row r="187" spans="1:5" x14ac:dyDescent="0.35">
      <c r="A187" s="2">
        <v>186</v>
      </c>
      <c r="B187" s="2">
        <v>151</v>
      </c>
      <c r="C187" s="2" t="s">
        <v>238</v>
      </c>
      <c r="D187" s="2">
        <v>165.7</v>
      </c>
      <c r="E187" s="2" t="s">
        <v>231</v>
      </c>
    </row>
    <row r="188" spans="1:5" x14ac:dyDescent="0.35">
      <c r="A188" s="2">
        <v>187</v>
      </c>
      <c r="B188" s="2">
        <v>26</v>
      </c>
      <c r="C188" s="2" t="s">
        <v>235</v>
      </c>
      <c r="D188" s="2">
        <v>267.10000000000002</v>
      </c>
      <c r="E188" s="2" t="s">
        <v>231</v>
      </c>
    </row>
    <row r="189" spans="1:5" x14ac:dyDescent="0.35">
      <c r="A189" s="2">
        <v>188</v>
      </c>
      <c r="B189" s="2">
        <v>86</v>
      </c>
      <c r="C189" s="2" t="s">
        <v>230</v>
      </c>
      <c r="D189" s="2">
        <v>231.8</v>
      </c>
      <c r="E189" s="2" t="s">
        <v>239</v>
      </c>
    </row>
    <row r="190" spans="1:5" x14ac:dyDescent="0.35">
      <c r="A190" s="2">
        <v>189</v>
      </c>
      <c r="B190" s="2">
        <v>135</v>
      </c>
      <c r="C190" s="2" t="s">
        <v>230</v>
      </c>
      <c r="D190" s="2">
        <v>235.7</v>
      </c>
      <c r="E190" s="2" t="s">
        <v>241</v>
      </c>
    </row>
    <row r="191" spans="1:5" x14ac:dyDescent="0.35">
      <c r="A191" s="2">
        <v>190</v>
      </c>
      <c r="B191" s="2">
        <v>14</v>
      </c>
      <c r="C191" s="2" t="s">
        <v>235</v>
      </c>
      <c r="D191" s="2">
        <v>156.4</v>
      </c>
      <c r="E191" s="2" t="s">
        <v>236</v>
      </c>
    </row>
    <row r="192" spans="1:5" x14ac:dyDescent="0.35">
      <c r="A192" s="2">
        <v>191</v>
      </c>
      <c r="B192" s="2">
        <v>79</v>
      </c>
      <c r="C192" s="2" t="s">
        <v>240</v>
      </c>
      <c r="D192" s="2">
        <v>136.5</v>
      </c>
      <c r="E192" s="2" t="s">
        <v>239</v>
      </c>
    </row>
    <row r="193" spans="1:5" x14ac:dyDescent="0.35">
      <c r="A193" s="2">
        <v>192</v>
      </c>
      <c r="B193" s="2">
        <v>117</v>
      </c>
      <c r="C193" s="2" t="s">
        <v>230</v>
      </c>
      <c r="D193" s="2">
        <v>142.80000000000001</v>
      </c>
      <c r="E193" s="2" t="s">
        <v>236</v>
      </c>
    </row>
    <row r="194" spans="1:5" x14ac:dyDescent="0.35">
      <c r="A194" s="2">
        <v>193</v>
      </c>
      <c r="B194" s="2">
        <v>7</v>
      </c>
      <c r="C194" s="2" t="s">
        <v>240</v>
      </c>
      <c r="D194" s="2">
        <v>296.89999999999998</v>
      </c>
      <c r="E194" s="2" t="s">
        <v>241</v>
      </c>
    </row>
    <row r="195" spans="1:5" x14ac:dyDescent="0.35">
      <c r="A195" s="2">
        <v>194</v>
      </c>
      <c r="B195" s="2">
        <v>137</v>
      </c>
      <c r="C195" s="2" t="s">
        <v>235</v>
      </c>
      <c r="D195" s="2">
        <v>60</v>
      </c>
      <c r="E195" s="2" t="s">
        <v>234</v>
      </c>
    </row>
    <row r="196" spans="1:5" x14ac:dyDescent="0.35">
      <c r="A196" s="2">
        <v>195</v>
      </c>
      <c r="B196" s="2">
        <v>115</v>
      </c>
      <c r="C196" s="2" t="s">
        <v>240</v>
      </c>
      <c r="D196" s="2">
        <v>266.8</v>
      </c>
      <c r="E196" s="2" t="s">
        <v>234</v>
      </c>
    </row>
    <row r="197" spans="1:5" x14ac:dyDescent="0.35">
      <c r="A197" s="2">
        <v>196</v>
      </c>
      <c r="B197" s="2">
        <v>176</v>
      </c>
      <c r="C197" s="2" t="s">
        <v>232</v>
      </c>
      <c r="D197" s="2">
        <v>194.7</v>
      </c>
      <c r="E197" s="2" t="s">
        <v>241</v>
      </c>
    </row>
    <row r="198" spans="1:5" x14ac:dyDescent="0.35">
      <c r="A198" s="2">
        <v>197</v>
      </c>
      <c r="B198" s="2">
        <v>72</v>
      </c>
      <c r="C198" s="2" t="s">
        <v>238</v>
      </c>
      <c r="D198" s="2">
        <v>159.69999999999999</v>
      </c>
      <c r="E198" s="2" t="s">
        <v>239</v>
      </c>
    </row>
    <row r="199" spans="1:5" x14ac:dyDescent="0.35">
      <c r="A199" s="2">
        <v>198</v>
      </c>
      <c r="B199" s="2">
        <v>59</v>
      </c>
      <c r="C199" s="2" t="s">
        <v>230</v>
      </c>
      <c r="D199" s="2">
        <v>231.3</v>
      </c>
      <c r="E199" s="2" t="s">
        <v>241</v>
      </c>
    </row>
    <row r="200" spans="1:5" x14ac:dyDescent="0.35">
      <c r="A200" s="2">
        <v>199</v>
      </c>
      <c r="B200" s="2">
        <v>82</v>
      </c>
      <c r="C200" s="2" t="s">
        <v>237</v>
      </c>
      <c r="D200" s="2">
        <v>171.7</v>
      </c>
      <c r="E200" s="2" t="s">
        <v>233</v>
      </c>
    </row>
    <row r="201" spans="1:5" x14ac:dyDescent="0.35">
      <c r="A201" s="2">
        <v>200</v>
      </c>
      <c r="B201" s="2">
        <v>116</v>
      </c>
      <c r="C201" s="2" t="s">
        <v>238</v>
      </c>
      <c r="D201" s="2">
        <v>268.39999999999998</v>
      </c>
      <c r="E201" s="2" t="s">
        <v>231</v>
      </c>
    </row>
  </sheetData>
  <autoFilter ref="A1:E201" xr:uid="{2FB8A9A9-3FB6-4EC9-A787-2A78FD94F41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diagnosis</vt:lpstr>
      <vt:lpstr>patients</vt:lpstr>
      <vt:lpstr>pivot_table</vt:lpstr>
      <vt:lpstr>outcomes</vt:lpstr>
      <vt:lpstr>labs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Kandwal</dc:creator>
  <cp:lastModifiedBy>Sudhanshu Kandwal</cp:lastModifiedBy>
  <dcterms:created xsi:type="dcterms:W3CDTF">2026-01-03T18:24:31Z</dcterms:created>
  <dcterms:modified xsi:type="dcterms:W3CDTF">2026-01-04T12:51:14Z</dcterms:modified>
</cp:coreProperties>
</file>